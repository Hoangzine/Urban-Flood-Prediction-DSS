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02E7A0-47B9-412A-A715-F6E815A106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BASE" sheetId="1" r:id="rId1"/>
    <sheet name="Thống kê nguồn" sheetId="2" r:id="rId2"/>
    <sheet name="Factors" sheetId="3" r:id="rId3"/>
    <sheet name="Impa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7" i="1" l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86" i="1"/>
  <c r="J68" i="1"/>
  <c r="J69" i="1"/>
  <c r="J67" i="1"/>
  <c r="B6" i="2"/>
  <c r="B5" i="2"/>
  <c r="B4" i="2"/>
  <c r="B3" i="2"/>
  <c r="B2" i="2"/>
</calcChain>
</file>

<file path=xl/sharedStrings.xml><?xml version="1.0" encoding="utf-8"?>
<sst xmlns="http://schemas.openxmlformats.org/spreadsheetml/2006/main" count="2717" uniqueCount="564">
  <si>
    <t>STT</t>
  </si>
  <si>
    <t>District</t>
  </si>
  <si>
    <t>Road Name</t>
  </si>
  <si>
    <t>Date</t>
  </si>
  <si>
    <t>Latitude</t>
  </si>
  <si>
    <t>Elevation (m)</t>
  </si>
  <si>
    <t>Rain_start</t>
  </si>
  <si>
    <t>Rain_end</t>
  </si>
  <si>
    <t>Factors</t>
  </si>
  <si>
    <t>Max_depth (cm)</t>
  </si>
  <si>
    <t>Rain_fall (mm)</t>
  </si>
  <si>
    <t>Impacts</t>
  </si>
  <si>
    <t>Sources</t>
  </si>
  <si>
    <t>Cầu Giấy</t>
  </si>
  <si>
    <t>Hoa Bằng</t>
  </si>
  <si>
    <t>https://vietnamnet.vn/mua-lon-loat-tuyen-pho-o-ha-noi-chim-trong-bien-nuoc-2024527.html</t>
  </si>
  <si>
    <t>Xuân Thủy</t>
  </si>
  <si>
    <t>https://kenh14.vn/ha-noi-mua-lon-nhieu-tuyen-pho-un-tac-nghiem-trong-ngap-sau-trong-bien-nuoc-20220812115529236.chn</t>
  </si>
  <si>
    <t xml:space="preserve">Chợ Nhà Xanh </t>
  </si>
  <si>
    <t>Dương Đình Nghệ</t>
  </si>
  <si>
    <t>https://laodong.vn/photo/ha-noi-mua-nhu-trut-nuoc-nguoi-dan-chat-vat-boi-qua-diem-ngap-1064472.ldo &amp; https://tuoitre.vn/tu-chieu-toi-5-7-ha-noi-mua-nhu-trut-nuoc-co-noi-250mm-duong-ngap-cay-do-xe-ket-20220705175500419.htm</t>
  </si>
  <si>
    <t>Phạm Hùng</t>
  </si>
  <si>
    <t>Hồ Tùng Mậu</t>
  </si>
  <si>
    <t>https://kenh14.vn/toan-canh-ha-noi-sau-tran-mua-lon-toi-13-6-duong-pho-ngap-lut-banh-xe-nguoi-dan-vat-va-loi-nuoc-ve-nha-luc-nua-dem-20220613232456984.chn</t>
  </si>
  <si>
    <t>Trần Bình</t>
  </si>
  <si>
    <t>https://hanoimoi.vn/ha-noi-mua-lon-gay-ung-ngap-nhieu-tuyen-pho-cay-bat-goc-de-trung-o-to-520866.html</t>
  </si>
  <si>
    <t>Tô Hiệu</t>
  </si>
  <si>
    <t>Nguyễn Khang</t>
  </si>
  <si>
    <t>https://dantri.com.vn/thoi-su/ha-noi-ngap-nang-sau-mua-lon-nguoi-va-xe-boi-tren-pho-20230620194720272.htm</t>
  </si>
  <si>
    <t>Phan Văn Trường</t>
  </si>
  <si>
    <t>https://vnexpress.net/nhieu-tuyen-pho-ha-noi-ngap-sau-sau-mua-lon-4636178.html</t>
  </si>
  <si>
    <t>https://chinhsachcuocsong.vnanet.vn/mua-lon-gay-ngap-ung-mot-so-tuyen-duong-tai-ha-noi/25283.html</t>
  </si>
  <si>
    <t>Trần Cung</t>
  </si>
  <si>
    <t>Hoàng Quán Chi</t>
  </si>
  <si>
    <t>https://vnexpress.net/nguoi-ha-noi-boi-di-lam-ngay-mua-4658435.html</t>
  </si>
  <si>
    <t>https://vov.vn/xa-hoi/mua-lon-dau-gio-sang-nhieu-khu-vuc-tai-ha-noi-ngap-ung-giao-thong-un-tac-post1048950.vov</t>
  </si>
  <si>
    <t>https://www.vietnamplus.vn/ha-noi-ngap-sau-tai-nhieu-tuyen-duong-va-khu-do-thi-do-anh-huong-bao-so-2-post966455.vnp</t>
  </si>
  <si>
    <t>Phan Văn Trường (Khu vực chợ Nhà Xanh)</t>
  </si>
  <si>
    <t>https://kinhtedothi.vn/ha-noi-mua-to-xoi-xa-nhieu-tuyen-duong-ngap-sau.html</t>
  </si>
  <si>
    <t>Dương Đình Nghệ (Sau tòa Keangnam)</t>
  </si>
  <si>
    <t>https://znews.vn/mua-lon-chieu-toi-nhieu-tuyen-pho-ha-noi-ngap-sau-post1474652.html</t>
  </si>
  <si>
    <t xml:space="preserve">Hoa Bằng </t>
  </si>
  <si>
    <t>https://www.sggp.org.vn/ha-noi-mua-to-gay-ngap-co-noi-mat-dien-post739533.html</t>
  </si>
  <si>
    <t>Hoàng Quốc Việt (Đoạn ĐH Điện Lực)</t>
  </si>
  <si>
    <t>https://tuoitre.vn/mua-lon-nhieu-duong-pho-ha-noi-thanh-song-xe-co-hon-loan-20240515175013165.htm</t>
  </si>
  <si>
    <t>Cầu Giấy (gần ĐH GTVT)</t>
  </si>
  <si>
    <t>https://vtcnews.vn/nguoi-ha-noi-vat-va-loi-nuoc-doi-mua-di-lam-sang-dau-tuan-ar878987.html</t>
  </si>
  <si>
    <t>https://news.laodong.vn/giao-thong/mua-phun-bao-phu-nhieu-tuyen-pho-ha-noi-un-tac-tu-sang-som-1602672.ldo</t>
  </si>
  <si>
    <t>Phạm Văn Bạch</t>
  </si>
  <si>
    <t>Trần Duy Hưng</t>
  </si>
  <si>
    <t>Trung Hòa</t>
  </si>
  <si>
    <t>Hoàng Quốc Việt (Đoạn giao với Phạm Tuấn Tài)</t>
  </si>
  <si>
    <t>https://tuoitre.vn/mua-lon-vao-gio-tan-tam-nhieu-tuyen-pho-ha-noi-ngap-sau-un-tac-20250630181157935.htm</t>
  </si>
  <si>
    <t>https://nongnghiepmoitruong.vn/nhieu-tuyen-pho-ha-noi-ngap-sau-sau-mua-lon-d769635.html#wrap_live_exp</t>
  </si>
  <si>
    <t>https://kinhtedothi.vn/ha-noi-mua-trang-troi-ngap-ung-nhieu-tuyen-pho.821198.html</t>
  </si>
  <si>
    <t>https://tuoitre.vn/mua-xuyen-dem-duong-pho-ha-noi-bat-dau-ngap-sau-20251007062802573.htm</t>
  </si>
  <si>
    <t>https://vnexpress.net/ha-noi-mua-lon-nhieu-tuyen-pho-nguy-co-ngap-4948058-tong-thuat.html</t>
  </si>
  <si>
    <t>Hai Bà Trưng</t>
  </si>
  <si>
    <t>Minh Khai (chân cầu Vĩnh Tuy)</t>
  </si>
  <si>
    <t>https://vov.vn/kinh-te/mua-hon-200mm-gay-ung-ngap-cuc-bo-nhieu-noi-tai-ha-noi-post1182035.vov</t>
  </si>
  <si>
    <t>Vân Hồ</t>
  </si>
  <si>
    <t>Nguyễn Công Trứ</t>
  </si>
  <si>
    <t>Ngã 5 Bà Triệu</t>
  </si>
  <si>
    <t>Lò Đúc</t>
  </si>
  <si>
    <t>https://thanglong.chinhphu.vn/ha-noi-ung-truc-giai-thoat-nuoc-kip-thoi-trong-ngay-mua-bao-103240513104127317.htm</t>
  </si>
  <si>
    <t>Nguyễn Gia Thiều</t>
  </si>
  <si>
    <t>Liên Trì</t>
  </si>
  <si>
    <t>Đường Văn Hồ</t>
  </si>
  <si>
    <r>
      <rPr>
        <u/>
        <sz val="12"/>
        <color rgb="FF1155CC"/>
        <rFont val="Times New Roman"/>
      </rPr>
      <t>https://news.tuoitre.vn/downtown-streets-drowned-by-drawn-out-downpour-in-hanoi-10379837.htm</t>
    </r>
  </si>
  <si>
    <t>Nguyễn Khoái</t>
  </si>
  <si>
    <t>https://www.luagaoviet.com/ban-tin-tren-mang/nuoc-lu-song-hong-len-gan-toi-mat-cau-chuong-duong-nguy-co-ngap-lut-o-ha-noi</t>
  </si>
  <si>
    <t>Lạc Trung</t>
  </si>
  <si>
    <t>Mạc Thị Bưởi</t>
  </si>
  <si>
    <t>Hàng Chuối</t>
  </si>
  <si>
    <t>Trần Xuân Soạn</t>
  </si>
  <si>
    <t>Thanh Nhàn</t>
  </si>
  <si>
    <t>Yec-Xanh</t>
  </si>
  <si>
    <t>https://tienphong.vn/cap-nhat-54-diem-ngap-sau-o-ha-noi-nguoi-dan-di-chuyen-bang-thuyen-o-my-dinh-post1784727.tpo</t>
  </si>
  <si>
    <t>Tông Đản</t>
  </si>
  <si>
    <r>
      <rPr>
        <sz val="12"/>
        <rFont val="Times New Roman"/>
      </rPr>
      <t xml:space="preserve">https://www.youtube.com/watch?v=iI8hM14WddM &amp;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</si>
  <si>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t>Hầm chui xe lửa phố Thiên Đức (khu gần Giải Phóng – Đồng Tâm)</t>
  </si>
  <si>
    <t>Minh Khai (Chân cầu Vĩnh Tuy)</t>
  </si>
  <si>
    <t>Minh Khai</t>
  </si>
  <si>
    <t>https://laodong.vn/xa-hoi/ha-noi-mua-ngap-nhieu-tuyen-duong-cong-nhan-dam-minh-xu-ly-thoat-nuoc-1080018.ldo</t>
  </si>
  <si>
    <t>Phố Bạch Mai</t>
  </si>
  <si>
    <r>
      <rPr>
        <u/>
        <sz val="12"/>
        <color rgb="FF1155CC"/>
        <rFont val="Times New Roman"/>
      </rPr>
      <t>Sáng đầu tuần mưa lớn, Hà Nội có gần 40 điểm ngập úng - Tuổi Trẻ Online</t>
    </r>
  </si>
  <si>
    <t>MInh Khai</t>
  </si>
  <si>
    <r>
      <rPr>
        <u/>
        <sz val="12"/>
        <color rgb="FF1155CC"/>
        <rFont val="Times New Roman"/>
      </rPr>
      <t>Mưa lớn lúc nửa đêm gây ngập nhiều tuyến phố Hà Nội | baotintuc.vn</t>
    </r>
  </si>
  <si>
    <t>Nam Từ Liêm</t>
  </si>
  <si>
    <t>Đường Đồng Me và Đỗ Đức Dục</t>
  </si>
  <si>
    <r>
      <rPr>
        <u/>
        <sz val="12"/>
        <color rgb="FF1155CC"/>
        <rFont val="Times New Roman"/>
      </rPr>
      <t>https://nongnghiepmoitruong.vn/nhieu-tuyen-duong-o-ha-noi-ngap-sau-sau-tran-mua-lon-sang-1-5-d751024.html</t>
    </r>
  </si>
  <si>
    <t>Đường Lê Quang Đạo</t>
  </si>
  <si>
    <r>
      <rPr>
        <u/>
        <sz val="12"/>
        <color rgb="FF1155CC"/>
        <rFont val="Times New Roman"/>
      </rPr>
      <t>https://vtv.vn/xa-hoi/mua-lon-gay-ngap-ung-cuc-bo-tai-ha-noi-20240520061735155.htm</t>
    </r>
  </si>
  <si>
    <t>Đường nội khu tại một Khu đô thị tại phường Tây Mỗ</t>
  </si>
  <si>
    <r>
      <rPr>
        <u/>
        <sz val="12"/>
        <color rgb="FF1155CC"/>
        <rFont val="Times New Roman"/>
      </rPr>
      <t>https://kinhtedothi.vn/ha-noi-mua-to-xoi-xa-nhieu-tuyen-duong-ngap-sau.html</t>
    </r>
  </si>
  <si>
    <t>gõ 43, 45 phố Cầu Cốc, phường Tây Mỗ</t>
  </si>
  <si>
    <t>Ngã ba Ngọc Trục - Đại Mỗ</t>
  </si>
  <si>
    <r>
      <rPr>
        <sz val="12"/>
        <rFont val="Times New Roman"/>
      </rPr>
      <t xml:space="preserve">https://kinhtedothi.vn/quan-nam-tu-liem-tich-cuc-khac-phuc-hau-qua-sau-bao &amp; </t>
    </r>
    <r>
      <rPr>
        <u/>
        <sz val="12"/>
        <color rgb="FF1155CC"/>
        <rFont val="Times New Roman"/>
      </rPr>
      <t>https://hanoitimes.vn/super-typhoon-yagi-weakens-to-tropical-depression-heavy-rain-flooding-landslides-expected.593867.html</t>
    </r>
  </si>
  <si>
    <t>Phố Tân Mỹ, phường Cầu Diễn</t>
  </si>
  <si>
    <t xml:space="preserve">Nam Từ Liêm </t>
  </si>
  <si>
    <t>Tây Mỗ, Nam Từ Liêm</t>
  </si>
  <si>
    <t>https://vtv.vn/xa-hoi/ha-noi-nhieu-tuyen-duong-ngap-lut-giao-thong-te-liet-vao-dau-gio-sang-20240724091556798.htm</t>
  </si>
  <si>
    <t>khu vực tái định cư 1,6ha và tái định cư mở rộng thuộc TDP số 8 Tu Hoàng</t>
  </si>
  <si>
    <t>https://kinhtedothi.vn/quan-nam-tu-liem-nhieu-diem-ngap-san-sang-phuong-an-so-tan-dan</t>
  </si>
  <si>
    <t>đầu ngõ 80 đường Xuân Phương</t>
  </si>
  <si>
    <t>phố Hòe Thị giao ngõ 143 Xuân Phương và trục đường Trịnh Văn Bộ</t>
  </si>
  <si>
    <t>Đường Ngọc Trục, thuộc phường Đại Mỗ</t>
  </si>
  <si>
    <t>https://danviet.vn/nguoi-dan-khon-kho-song-gan-tuyen-duong-mua-thanh-ao-nang-bui-bay-mu-mit-o-quan-nam-tu-liem-ha-noi-20240806111932319-d1177051.html</t>
  </si>
  <si>
    <t>63 Ngọc Đại, phường Đại Mỗ</t>
  </si>
  <si>
    <t>https://vnexpress.net/hon-40-diem-ngap-tai-ha-noi-sau-mua-lon-4793231.html</t>
  </si>
  <si>
    <t>Tôn Thất Thuyết</t>
  </si>
  <si>
    <r>
      <rPr>
        <sz val="12"/>
        <rFont val="Times New Roman"/>
      </rPr>
      <t xml:space="preserve">https://bnews.vn/nhieu-tuyen-pho-ha-noi-lai-ngap-sau-do-mua-lon-keo-dai/307968.html &amp; </t>
    </r>
    <r>
      <rPr>
        <u/>
        <sz val="12"/>
        <color rgb="FF1155CC"/>
        <rFont val="Times New Roman"/>
      </rPr>
      <t>https://nguoidothi.net.vn/ha-noi-bao-gio-het-ngap-lut-ben-vung-41139.html</t>
    </r>
  </si>
  <si>
    <t>Tuyến phố Hàm nghi</t>
  </si>
  <si>
    <t>Tố Hữu - Trung Văn</t>
  </si>
  <si>
    <r>
      <rPr>
        <sz val="12"/>
        <rFont val="Times New Roman"/>
      </rPr>
      <t xml:space="preserve">https://www.youtube.com/watch?v=CbikeX3cG8k &amp; </t>
    </r>
    <r>
      <rPr>
        <u/>
        <sz val="12"/>
        <color rgb="FF1155CC"/>
        <rFont val="Times New Roman"/>
      </rPr>
      <t>https://tienphong.vn/cap-nhat-54-diem-ngap-sau-o-ha-noi-nguoi-dan-di-chuyen-bang-thuyen-o-my-dinh-post1784727.tpo</t>
    </r>
  </si>
  <si>
    <t>178 Nguyễn Đổng Chi Phố Hàm Nghi</t>
  </si>
  <si>
    <t>Phố Nguyễn Hoàng</t>
  </si>
  <si>
    <t>Phố Đỗ Đức Dục</t>
  </si>
  <si>
    <r>
      <rPr>
        <u/>
        <sz val="12"/>
        <color rgb="FF1155CC"/>
        <rFont val="Times New Roman"/>
      </rPr>
      <t>https://kinhtedothi.vn/ha-noi-giao-thong-nhieu-noi-dinh-tre-do-tran-mua-lon-chieu-29-5.html</t>
    </r>
    <r>
      <rPr>
        <sz val="12"/>
        <rFont val="Times New Roman"/>
      </rPr>
      <t xml:space="preserve"> &amp; </t>
    </r>
    <r>
      <rPr>
        <u/>
        <sz val="12"/>
        <color rgb="FF1155CC"/>
        <rFont val="Times New Roman"/>
      </rPr>
      <t>https://vovgiaothong.vn/chong-ngap-cho-ha-noi-d27202.html</t>
    </r>
  </si>
  <si>
    <t>Ngã ba Mỹ Đình - Thiên Hiền</t>
  </si>
  <si>
    <t>https://baotintuc.vn/van-de-quan-tam/mua-to-canh-bao-ngap-ung-tren-nhieu-tuyen-pho-noi-thanh-ha-noi-20240823220834809.htm</t>
  </si>
  <si>
    <t>Đại lộ Thăng Long</t>
  </si>
  <si>
    <t>Đỗ Đức Dục</t>
  </si>
  <si>
    <t>Trần Bình</t>
  </si>
  <si>
    <t>Bến xe Mỹ Đình</t>
  </si>
  <si>
    <t>Tố Hữu</t>
  </si>
  <si>
    <t>Mỹ Đình 1</t>
  </si>
  <si>
    <r>
      <rPr>
        <u/>
        <sz val="12"/>
        <color rgb="FF1155CC"/>
        <rFont val="Times New Roman"/>
      </rPr>
      <t>Mưa lớn, đường Mỹ Đình, Đình Thôn ngập nặng</t>
    </r>
  </si>
  <si>
    <t>Đường Đình Thôn</t>
  </si>
  <si>
    <t>Đống Đa</t>
  </si>
  <si>
    <t xml:space="preserve">Đặng Văn Ngữ </t>
  </si>
  <si>
    <t xml:space="preserve">Nguyễn Khuyến( đoạn trước cổng trường Lý Thường Kiệt) </t>
  </si>
  <si>
    <t>https://www.vietnamplus.vn/mua-to-bat-ngo-sang-304-lam-ngap-mot-so-tuyen-pho-o-ha-noi-post566732.vnp</t>
  </si>
  <si>
    <t xml:space="preserve">Đường Trường Chinh( Đoạn bện viện PKKQ) </t>
  </si>
  <si>
    <t>Thái Hà</t>
  </si>
  <si>
    <t>https://laodong.vn/xa-hoi/ha-noi-loay-hoay-xu-ly-ngap-ung-trong-noi-do-828693.ldo</t>
  </si>
  <si>
    <t xml:space="preserve">Ngã Tư Láng Hạ </t>
  </si>
  <si>
    <t>Nguyễn Khuyến</t>
  </si>
  <si>
    <t xml:space="preserve">Trường Chinh </t>
  </si>
  <si>
    <r>
      <rPr>
        <u/>
        <sz val="12"/>
        <color rgb="FF1155CC"/>
        <rFont val="Times New Roman"/>
      </rPr>
      <t>https://vovgiaothong.vn/chong-ngap-cho-ha-noi-d27202.html</t>
    </r>
    <r>
      <rPr>
        <sz val="12"/>
        <rFont val="Times New Roman"/>
      </rPr>
      <t xml:space="preserve">                      </t>
    </r>
    <r>
      <rPr>
        <u/>
        <sz val="12"/>
        <color rgb="FF1155CC"/>
        <rFont val="Times New Roman"/>
      </rPr>
      <t>https://kinhtedothi.vn/ha-noi-giao-thong-nhieu-noi-dinh-tre-do-tran-mua-lon-chieu-29-5.html</t>
    </r>
  </si>
  <si>
    <t>Thái Thịnh</t>
  </si>
  <si>
    <t xml:space="preserve">Huỳnh Thúc Kháng </t>
  </si>
  <si>
    <t xml:space="preserve">Phạm Ngọc Thạch </t>
  </si>
  <si>
    <t>Hầm Kim Liên</t>
  </si>
  <si>
    <t>https://bnews.vn/nhieu-tuyen-pho-ha-noi-lai-ngap-sau-do-mua-lon-keo-dai/307968.html</t>
  </si>
  <si>
    <t>Lê Duẩn</t>
  </si>
  <si>
    <t>Chùa Bộc</t>
  </si>
  <si>
    <t>Tôn Thất Tùng</t>
  </si>
  <si>
    <t>Nguyễn Lương Bằng</t>
  </si>
  <si>
    <t>Tôn Đức Thắng</t>
  </si>
  <si>
    <t>Ngõ 178 Nguyễn Lương Bằng</t>
  </si>
  <si>
    <t>Trường Chinh</t>
  </si>
  <si>
    <t>Huỳnh Thúc Kháng</t>
  </si>
  <si>
    <t xml:space="preserve">Thái Thịnh </t>
  </si>
  <si>
    <t>https://nhiepanhdoisong.vn/ha-noi-mua-lon-gay-ngap-ung-nhieu-tuyen-duong-giao-thong-un-tac-cuc-bo-15134.html</t>
  </si>
  <si>
    <t xml:space="preserve">Huỳnh Thúc Kháng (đoạn cầu vượt Láng Hạ) </t>
  </si>
  <si>
    <t>Thái Hà (đoạn số 2-32)</t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</si>
  <si>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color rgb="FF000000"/>
        <rFont val="Times New Roman"/>
      </rPr>
      <t xml:space="preserve">       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</si>
  <si>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t>Huỳnh Thúc Kháng( ngã ba Nguyên Hồng )</t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</si>
  <si>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color rgb="FF000000"/>
        <rFont val="Times New Roman"/>
      </rPr>
      <t xml:space="preserve">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</si>
  <si>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t xml:space="preserve">Ngõ 165 Thái Hà </t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</si>
  <si>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rFont val="Times New Roman"/>
      </rPr>
      <t xml:space="preserve"> 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</si>
  <si>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t>Phố Kim Liên</t>
  </si>
  <si>
    <r>
      <rPr>
        <u/>
        <sz val="12"/>
        <color rgb="FF1155CC"/>
        <rFont val="Times New Roman"/>
      </rPr>
      <t>Mưa lớn ngập đường, người Hà Nội lại bì bõm đi làm</t>
    </r>
  </si>
  <si>
    <r>
      <rPr>
        <u/>
        <sz val="12"/>
        <color rgb="FF1155CC"/>
        <rFont val="Times New Roman"/>
      </rPr>
      <t>Mưa rất lớn, diễn biến ngập lụt ở Hà Nội thêm phức tạp | Báo điện tử Tiền Phong</t>
    </r>
  </si>
  <si>
    <t>Hà Đông</t>
  </si>
  <si>
    <t>Đại lộ Thăng Long (đoạn cắt qua Hà Đông)</t>
  </si>
  <si>
    <r>
      <rPr>
        <u/>
        <sz val="12"/>
        <color rgb="FF1155CC"/>
        <rFont val="Times New Roman"/>
      </rPr>
      <t>Mưa lớn, hàng loạt tuyến phố ở Hà Nội ngập nặng - ThienNhien.Net | Con người và Thiên nhiên</t>
    </r>
  </si>
  <si>
    <t>Tố Hữu (giao với Dương Nội)</t>
  </si>
  <si>
    <r>
      <rPr>
        <u/>
        <sz val="12"/>
        <color rgb="FF1155CC"/>
        <rFont val="Times New Roman"/>
      </rPr>
      <t>Hà Nội: Mưa ngập nhiều tuyến đường, công nhân dầm mình xử lý thoát nước</t>
    </r>
  </si>
  <si>
    <t>Khu đô thị Xa La</t>
  </si>
  <si>
    <r>
      <rPr>
        <u/>
        <sz val="12"/>
        <color rgb="FF1155CC"/>
        <rFont val="Times New Roman"/>
      </rPr>
      <t>Nhiều tuyến phố Hà Nội ngập sâu sau mưa lớn - Báo VnExpress</t>
    </r>
  </si>
  <si>
    <t>Triều Khúc</t>
  </si>
  <si>
    <t>Đường phố Hà Nội ngập lênh láng sau cơn mưa lớn, dân phải lội cả trên vỉa hè - Tuổi Trẻ Online</t>
  </si>
  <si>
    <r>
      <rPr>
        <u/>
        <sz val="12"/>
        <color rgb="FF1155CC"/>
        <rFont val="Times New Roman"/>
      </rPr>
      <t>Đường phố Hà Nội ngập lênh láng sau cơn mưa lớn, dân phải lội cả trên vỉa hè - Tuổi Trẻ Online</t>
    </r>
  </si>
  <si>
    <t>Mộ Lao</t>
  </si>
  <si>
    <t>Người dân Hà Nội bì bõm lội nước sau trận mưa ngày 28/9</t>
  </si>
  <si>
    <t>Yên Nghĩa</t>
  </si>
  <si>
    <r>
      <rPr>
        <u/>
        <sz val="12"/>
        <color rgb="FF1155CC"/>
        <rFont val="Times New Roman"/>
      </rPr>
      <t>Người dân Hà Nội bì bõm lội nước sau trận mưa ngày 28/9</t>
    </r>
  </si>
  <si>
    <t>Hồ Văn Quán</t>
  </si>
  <si>
    <t>https://vov.vn/xa-hoi/mua-lon-keo-dai-nguoi-ha-noi-lai-bi-bom-loi-nuoc-tren-duong-pho-post1109872.vov</t>
  </si>
  <si>
    <t>Chiến Thắng</t>
  </si>
  <si>
    <t>https://vtv.vn/xa-hoi/mua-lon-gay-ngap-ung-cuc-bo-tai-ha-noi-20240520061735155.htm</t>
  </si>
  <si>
    <t>Quang Trung</t>
  </si>
  <si>
    <r>
      <rPr>
        <u/>
        <sz val="12"/>
        <color rgb="FF1155CC"/>
        <rFont val="Times New Roman"/>
      </rPr>
      <t>Hà Nội vẫn còn 122 điểm ngập nước, trong đó 23 điểm ngập sâu, không lưu thông được</t>
    </r>
  </si>
  <si>
    <t>Phú Lương</t>
  </si>
  <si>
    <r>
      <rPr>
        <u/>
        <sz val="12"/>
        <color rgb="FF1155CC"/>
        <rFont val="Times New Roman"/>
      </rPr>
      <t>Ảnh: Hồ Văn Quán (Hà Nội) thành 'biển' nước tràn ngập các ngả đường</t>
    </r>
  </si>
  <si>
    <t>Phùng Hưng</t>
  </si>
  <si>
    <r>
      <rPr>
        <u/>
        <sz val="12"/>
        <color rgb="FF1155CC"/>
        <rFont val="Times New Roman"/>
      </rPr>
      <t>Nước sông dâng cao, Hà Đông bị ngập úng nhiều điểm</t>
    </r>
  </si>
  <si>
    <t xml:space="preserve">Bạch Thái Bưởi </t>
  </si>
  <si>
    <t xml:space="preserve">Ngõ Bến Phà </t>
  </si>
  <si>
    <t>Bệnh Viện 103</t>
  </si>
  <si>
    <r>
      <rPr>
        <u/>
        <sz val="12"/>
        <color rgb="FF1155CC"/>
        <rFont val="Times New Roman"/>
      </rPr>
      <t>Quận Hà Đông (Hà Nội): Người dân và bệnh nhân oằn mình trong mưa lũ</t>
    </r>
  </si>
  <si>
    <t>/</t>
  </si>
  <si>
    <t>Ba Đình</t>
  </si>
  <si>
    <t>Nguyễn Trường Tộ</t>
  </si>
  <si>
    <t>Mưa lớn chiều tối, nhiều tuyến phố Hà Nội ngập sâu</t>
  </si>
  <si>
    <t>Hoàn Kiếm</t>
  </si>
  <si>
    <t>Ngã tư Phan Bội Châu - Lý Thường Kiệt</t>
  </si>
  <si>
    <t>https://vnexpress.net/pho-co-ha-noi-ngap-sau-tran-mua-lon-4781156.html</t>
  </si>
  <si>
    <t>Liên Trì - Nguyễn Gia Thiều</t>
  </si>
  <si>
    <t>Ngã 5 Bát Đàn - Đường Thành</t>
  </si>
  <si>
    <t>https://tuoitre.vn/video/truc-tiep-nhieu-tuyen-duong-o-ha-noi-ngap-sau-con-mua-sang-ngay-5-6-162252.htm</t>
  </si>
  <si>
    <t>https://laodong.vn/moi-truong/ha-noi-mua-rat-to-du-bao-nhung-tuyen-duong-nao-ngap-sau-1370429.ldo</t>
  </si>
  <si>
    <t>Khu vực Nhà hát lớn</t>
  </si>
  <si>
    <t>https://www.qdnd.vn/xa-hoi/tin-tuc/ha-noi-anh-huong-cua-hoan-luu-bao-so-2-nhieu-tuyen-pho-ngap-ung-sau-786588</t>
  </si>
  <si>
    <t xml:space="preserve">Chương Dương Độ </t>
  </si>
  <si>
    <t>Bạch Đằng</t>
  </si>
  <si>
    <t>https://tuoitre.vn/ha-noi-rut-bao-dong-2-tren-song-hong-song-duong-20240913082602782.htm</t>
  </si>
  <si>
    <t>https://vnanet.vn/vi/anh/anh-thoi-su-trong-nuoc-1014/mua-lon-chieu-178-gay-ngap-cuc-bo-nhieu-tuyen-pho-ha-noi-4967394.html</t>
  </si>
  <si>
    <t>Tôn Thất Thiệp</t>
  </si>
  <si>
    <t>https://hanoimoi.vn/mua-lon-gay-ung-ngap-cuc-bo-tren-nhieu-duong-pho-ha-noi-506767.html</t>
  </si>
  <si>
    <t>https://vtv.vn/xa-hoi/mua-lon-chieu-17-8-gay-ngap-cuc-bo-nhieu-tuyen-pho-ha-noi-20200817181932196.htm</t>
  </si>
  <si>
    <t>Tạ Hiện</t>
  </si>
  <si>
    <t>https://dantri.com.vn/thoi-su/ha-noi-pho-co-ngap-sau-cay-do-de-taxi-o-to-boi-o-keangnam-20220529162210671.htm</t>
  </si>
  <si>
    <t>Hàng Khoai</t>
  </si>
  <si>
    <t>https://kinhtedothi.vn/ha-noi-giao-thong-nhieu-noi-dinh-tre-do-tran-mua-lon-chieu-29-5.html</t>
  </si>
  <si>
    <t>Hàng Cót</t>
  </si>
  <si>
    <t>https://kinhtedothi.vn/duong-pho-ha-noi-ngap-ung-trong-con-mua-lon-toi-13-6.html</t>
  </si>
  <si>
    <t>Ngã tư Tràng Tiền - Hàng Bài</t>
  </si>
  <si>
    <t>https://anninhthudo.vn/ha-noi-ngap-sau-sau-tran-mua-lon-toi-13-6-post507594.antd</t>
  </si>
  <si>
    <t xml:space="preserve">Hoàn Kiếm </t>
  </si>
  <si>
    <r>
      <rPr>
        <u/>
        <sz val="12"/>
        <color rgb="FF1155CC"/>
        <rFont val="Times New Roman"/>
      </rPr>
      <t>https://tuoitre.vn/ha-noi-mua-lon-moi-sang-som-nhieu-tuyen-pho-thanh-song-20220812064514956.htm</t>
    </r>
    <r>
      <rPr>
        <sz val="12"/>
        <rFont val="Times New Roman"/>
      </rPr>
      <t xml:space="preserve">                                  </t>
    </r>
    <r>
      <rPr>
        <u/>
        <sz val="12"/>
        <color rgb="FF1155CC"/>
        <rFont val="Times New Roman"/>
      </rPr>
      <t>https://laodong.vn/xa-hoi/ha-noi-mua-ngap-nhieu-tuyen-duong-cong-nhan-dam-minh-xu-ly-thoat-nuoc-1080018.ldo</t>
    </r>
  </si>
  <si>
    <t>Phường Chương Dương</t>
  </si>
  <si>
    <r>
      <rPr>
        <u/>
        <sz val="12"/>
        <color rgb="FF1155CC"/>
        <rFont val="Times New Roman"/>
      </rPr>
      <t>Dân Hà Nội đi xuồng ở quận Hoàn Kiếm khi mực nước sông Hồng vượt báo động 2 - Tuổi Trẻ Online</t>
    </r>
  </si>
  <si>
    <r>
      <rPr>
        <u/>
        <sz val="12"/>
        <color rgb="FF1155CC"/>
        <rFont val="Times New Roman"/>
      </rPr>
      <t>Nước sông Hồng dâng cao, Hà Nội nguy cơ ngập úng diện rộng | Báo Nhân Dân điện tử</t>
    </r>
  </si>
  <si>
    <r>
      <rPr>
        <u/>
        <sz val="12"/>
        <color rgb="FF1155CC"/>
        <rFont val="Times New Roman"/>
      </rPr>
      <t>Mưa lớn, mưa xối xả, nhiều tuyến phố Hà Nội lại ngập</t>
    </r>
  </si>
  <si>
    <t>ngã tư Phan Bội Châu - Lý Thường Kiệt</t>
  </si>
  <si>
    <t>Lương Ngọc Quyến</t>
  </si>
  <si>
    <r>
      <rPr>
        <u/>
        <sz val="12"/>
        <color rgb="FF1155CC"/>
        <rFont val="Times New Roman"/>
      </rPr>
      <t>Phố cổ Hà Nội ngập sau trận mưa lớn - Báo VnExpress</t>
    </r>
  </si>
  <si>
    <t>Thanh Xuân</t>
  </si>
  <si>
    <t>Nguyễn Trãi (ĐH KHXH&amp;NV)</t>
  </si>
  <si>
    <t>https://kinhtedothi.vn/mua-xoi-xa-ngay-giua-trua-nhieu-tuyen-pho-cua-ha-noi-ngap-sau.html</t>
  </si>
  <si>
    <t>Quan Nhân</t>
  </si>
  <si>
    <t>30</t>
  </si>
  <si>
    <t>https://vietnamnet.vn/khu-dan-cu-ha-noi-bi-ngap-sau-sau-tran-mua-giua-trua-2176321.html</t>
  </si>
  <si>
    <t>Nguyễn Trãi</t>
  </si>
  <si>
    <t>https://baomoi.com/nhieu-tuyen-pho-ha-noi-lai-ngap-sau-do-mua-lon-keo-dai-c47058895.epi</t>
  </si>
  <si>
    <t>Bùi Xương Trạch</t>
  </si>
  <si>
    <t>https://thanhnien.vn/ha-noi-mua-cuc-to-duong-pho-chim-trong-bien-nuoc-xe-chet-may-la-liet-185230928102251253.htm</t>
  </si>
  <si>
    <t>Vương Thừa Vũ</t>
  </si>
  <si>
    <t>https://www.qdnd.vn/xa-hoi/tin-tuc/mua-lon-gay-nguy-co-ngap-lut-o-nhieu-noi-tai-ha-noi-744666</t>
  </si>
  <si>
    <t>18:00</t>
  </si>
  <si>
    <t>https://htv.com.vn/ha-noi-pho-trieu-khuc-ung-ngap-nguoi-dan-vat-va-muu-sinh-222251002101351473.htm</t>
  </si>
  <si>
    <t>06:00</t>
  </si>
  <si>
    <t>https://baotintuc.vn/anh/nhieu-tuyen-duong-ha-noi-ngap-sau-do-anh-huong-mua-dong-cua-bao-so-2-20240724084929154.htm</t>
  </si>
  <si>
    <t>https://dantocphattrien.vietnamnet.vn/anh-huong-con-bao-so-2-nhieu-tuyen-pho-ha-noi-ngap-sau-1721739293263.htm</t>
  </si>
  <si>
    <t>22:00</t>
  </si>
  <si>
    <t>https://baotintuc.vn/thoi-su/ha-noi-pho-bui-xuong-trach-ngap-menh-mong-nuoc-tran-vao-nha-dan-20240822232830947.htm</t>
  </si>
  <si>
    <t>https://vietnamnet.vn/bao-so-3-yagi-ha-noi-mua-lon-gio-giat-den-dem-canh-bao-ngap-lut-o-noi-thanh-2319473.html</t>
  </si>
  <si>
    <t>https://kinhtedothi.vn/cap-nhat-sieu-bao-yagi-can-quet-ha-noi-hang-tram-cay-do-ngap-lut.html</t>
  </si>
  <si>
    <t>60</t>
  </si>
  <si>
    <t>https://baotintuc.vn/ha-noi/mua-xuyen-dem-duong-pho-ha-noi-menh-mong-bien-nuoc-20251007083440951.htm</t>
  </si>
  <si>
    <t>Nguyễn Tuân</t>
  </si>
  <si>
    <t>Vũ Trọng Phụng</t>
  </si>
  <si>
    <t>https://www.youtube.com/watch?v=kl-W3gyMm_U</t>
  </si>
  <si>
    <t>https://thanglong.chinhphu.vn/ha-noi-122-diem-ngap-nuoc-trong-do-23-diem-ngap-sau-khong-luu-thong-duoc-103251007111035109.htm</t>
  </si>
  <si>
    <t>Khuất Duy Tiến</t>
  </si>
  <si>
    <t>https://bnews.vn/mua-lon-gay-ngap-90-diem-tren-dia-ban-ha-noi-nhieu-tuyen-duong-te-liet-giao-thong/390501.html</t>
  </si>
  <si>
    <t>50</t>
  </si>
  <si>
    <r>
      <rPr>
        <u/>
        <sz val="12"/>
        <color rgb="FF1155CC"/>
        <rFont val="Times New Roman"/>
      </rPr>
      <t>Nhiều tuyến phố Hà Nội ngập sâu sau trận mưa lớn sáng 16/9</t>
    </r>
  </si>
  <si>
    <t xml:space="preserve">Thanh Xuân </t>
  </si>
  <si>
    <t>Nguyễn Huy Tưởng</t>
  </si>
  <si>
    <r>
      <rPr>
        <u/>
        <sz val="12"/>
        <color rgb="FF1155CC"/>
        <rFont val="Times New Roman"/>
      </rPr>
      <t>Mưa như trút nước, nhấn chìm nhiều tuyến đường ở Hà Nội | Báo Dân trí</t>
    </r>
  </si>
  <si>
    <t>70</t>
  </si>
  <si>
    <t>40</t>
  </si>
  <si>
    <t>150</t>
  </si>
  <si>
    <t>35</t>
  </si>
  <si>
    <t>90</t>
  </si>
  <si>
    <t>100</t>
  </si>
  <si>
    <t>250</t>
  </si>
  <si>
    <t>215</t>
  </si>
  <si>
    <t>154</t>
  </si>
  <si>
    <t>https://vietnamnet.vn/nhieu-tuyen-pho-ha-noi-ngap-sau-sau-tran-mua-lon-sang-16-9-2322503.html</t>
  </si>
  <si>
    <t>105.8220945</t>
  </si>
  <si>
    <t>10</t>
  </si>
  <si>
    <t>120</t>
  </si>
  <si>
    <t>https://dantri.com.vn/thoi-su/mua-nhu-trut-nuoc-nhan-chim-nhieu-tuyen-duong-o-ha-noi-20240823005957568.htm</t>
  </si>
  <si>
    <t>25</t>
  </si>
  <si>
    <t>15</t>
  </si>
  <si>
    <t>Đường Nguyễn Trãi</t>
  </si>
  <si>
    <t>20.9950</t>
  </si>
  <si>
    <t>105.8080</t>
  </si>
  <si>
    <t>https://vtcnews.vn/anh-duong-ha-noi-ngap-sau-un-tac-khung-khiep-sau-con-mua-lon-gio-tan-tam-ar487064.html</t>
  </si>
  <si>
    <t>Lê Văn Lương (Chung cư Handi Resco)</t>
  </si>
  <si>
    <t>21.0061</t>
  </si>
  <si>
    <t>105.8005</t>
  </si>
  <si>
    <t>https://cafef.vn/ngap-nang-dan-chung-cu-duoc-xe-cau-xe-xuc-chuyen-ra-khoi-nha-20160525082011102.chn</t>
  </si>
  <si>
    <t>Bắc Từ Liêm</t>
  </si>
  <si>
    <t>Phố Tân Xuân</t>
  </si>
  <si>
    <t>https://kinhtedothi.vn/sau-tran-mua-lon-ha-noi-ngap-sau-tai-mot-so-khu-vuc-noi-thanh-394015</t>
  </si>
  <si>
    <t>Khu đô thị Cổ Nhuế</t>
  </si>
  <si>
    <t>https://vnexpress.net/ha-noi-mua-lon-nuoc-ngap-lut-banh-xe-4469404.html</t>
  </si>
  <si>
    <t>Phố kẻ vẽ</t>
  </si>
  <si>
    <t>https://nhandan.vn/anh-mua-lon-suot-dem-nhieu-tuyen-duong-o-ha-noi-ngap-sau-post826312.html</t>
  </si>
  <si>
    <t>Đông Ngạc</t>
  </si>
  <si>
    <t>https://baotintuc.vn/xa-hoi/ha-noi-mua-lon-ngap-ung-nhieu-noi-cay-gay-do-tiem-an-nguy-hiem-20240908062214470.htm</t>
  </si>
  <si>
    <t>Cổ Nhuế</t>
  </si>
  <si>
    <t>https://vietnamnet.vn/ha-noi-mua-sam-sap-tu-sang-den-toi-van-ngap-lut-banh-xe-463082.html</t>
  </si>
  <si>
    <t xml:space="preserve">Xuân Đỉnh </t>
  </si>
  <si>
    <t>Ecohome 3, Đông Ngạc</t>
  </si>
  <si>
    <r>
      <rPr>
        <u/>
        <sz val="12"/>
        <color rgb="FF1155CC"/>
        <rFont val="Times New Roman"/>
      </rPr>
      <t>Hà Nội: Mưa lớn đầu giờ sáng, nhiều tuyến đường ngập úng, ùn tắc cục bộ | baotintuc.vn</t>
    </r>
  </si>
  <si>
    <t>Trần Vũ</t>
  </si>
  <si>
    <r>
      <rPr>
        <u/>
        <sz val="12"/>
        <color rgb="FF1155CC"/>
        <rFont val="Times New Roman"/>
      </rPr>
      <t>Sau trận mưa lớn, Hà Nội có gần 40 điểm úng ngập</t>
    </r>
  </si>
  <si>
    <t>Đội Cấn</t>
  </si>
  <si>
    <t>Ngọc Hà</t>
  </si>
  <si>
    <t>Thanh Trì</t>
  </si>
  <si>
    <t>Tứ Hiệp</t>
  </si>
  <si>
    <r>
      <rPr>
        <u/>
        <sz val="12"/>
        <color rgb="FF1155CC"/>
        <rFont val="Times New Roman"/>
      </rPr>
      <t>Hơn 40 điểm ngập tại Hà Nội sau mưa lớn - Báo VnExpress</t>
    </r>
  </si>
  <si>
    <t xml:space="preserve">Tây Hồ </t>
  </si>
  <si>
    <t>Phố Tứ Liên</t>
  </si>
  <si>
    <r>
      <rPr>
        <u/>
        <sz val="12"/>
        <color rgb="FF1155CC"/>
        <rFont val="Times New Roman"/>
      </rPr>
      <t>Lũ hơn 20 năm mới gặp, hàng trăm hộ dân ở Tứ Liên ồ ạt di tản | Báo Dân trí</t>
    </r>
  </si>
  <si>
    <t xml:space="preserve">Long Biên </t>
  </si>
  <si>
    <t>Nguyễn Văn Cừ</t>
  </si>
  <si>
    <t>Hoàng Mai</t>
  </si>
  <si>
    <t>phố Dương Văn Bé</t>
  </si>
  <si>
    <t>0.0</t>
  </si>
  <si>
    <t>https://vov.vn/xa-hoi/tin-24h/mua-lon-vao-gio-tan-tam-khien-duong-pho-ha-noi-ngap-sau-giao-thong-ach-tac-857002.vov</t>
  </si>
  <si>
    <t>https://vtv.vn/xa-hoi/canh-bao-ngap-lut-khu-vuc-noi-thanh-ha-noi-20230508114509237.htm</t>
  </si>
  <si>
    <t>Chính Kinh</t>
  </si>
  <si>
    <t>https://dtinews.dantri.com.vn/vietnam-today/many-hanoi-streets-deeply-flooded-following-heavy-rain-20230612155211913.htm</t>
  </si>
  <si>
    <t>https://e.vnexpress.net/photo/news/heavy-downpour-floods-hanoi-streets-4636261.html</t>
  </si>
  <si>
    <t>https://e.vnexpress.net/photo/environment/summer-downpour-floods-hanoi-streets-4616615.html</t>
  </si>
  <si>
    <t>119.4</t>
  </si>
  <si>
    <t>http://vnexpress.net/ha-noi-mua-lon-nhieu-tuyen-pho-nguy-co-ngap-4948058-tong-thuat.html</t>
  </si>
  <si>
    <t>Phan Đình Giót</t>
  </si>
  <si>
    <t>https://vnexpress.net/ha-noi-mua-giong-20-phut-mot-so-tuyen-pho-ngap-4950072.html</t>
  </si>
  <si>
    <t>33.0</t>
  </si>
  <si>
    <t>https://vov.vn/xa-hoi/mua-hon-200mm-gay-ung-ngap-cuc-bo-nhieu-noi-tai-ha-noi-post1048919.vov</t>
  </si>
  <si>
    <t>Nguyễn Đức Cảnh</t>
  </si>
  <si>
    <t>https://tuoitre.vn/duong-pho-ha-noi-ngap-sau-vi-mua-to-troi-toi-mit-nhu-ban-dem-20230928094018744.htm</t>
  </si>
  <si>
    <t>Vĩnh Hưng</t>
  </si>
  <si>
    <t>135.4</t>
  </si>
  <si>
    <t>https://vtv.vn/xa-hoi/bao-so-3-mua-lon-gay-ngap-ung-tren-cac-tuyen-pho-khu-do-thi-tai-ha-noi-20240908003534701.htm</t>
  </si>
  <si>
    <t>Nguyễn Hữu Thọ</t>
  </si>
  <si>
    <t>60.6</t>
  </si>
  <si>
    <t>https://www.sggp.org.vn/long-bien-thanh-tri-hoang-mai-ha-dong-ha-noi-ngap-nang-do-mua-lon-post750745.html</t>
  </si>
  <si>
    <t>Tân Mai</t>
  </si>
  <si>
    <t>57.3</t>
  </si>
  <si>
    <t>https://nhandan.vn/anh-ha-noi-mua-lon-gay-un-tac-giao-thong-nhieu-tuyen-duong-dau-gio-sang-post800564.html</t>
  </si>
  <si>
    <t>Trạm bơm Yên Sở</t>
  </si>
  <si>
    <t>https://tienphong.vn/ha-noi-quan-hoang-mai-don-dot-mua-lon-hiem-gap-post1663480.tpo</t>
  </si>
  <si>
    <t>Định Công</t>
  </si>
  <si>
    <t>80.0</t>
  </si>
  <si>
    <t>https://tuoitre.vn/ha-noi-mua-bao-so-5-ca-dem-nhieu-duong-ngap-sau-giao-thong-te-liet-20250826064554044.htm</t>
  </si>
  <si>
    <t>Nguyễn An Ninh</t>
  </si>
  <si>
    <t>https://www.qdnd.vn/xa-hoi/tin-tuc/ha-noi-mua-lon-suot-dem-ngap-lut-nhieu-tuyen-duong-843074</t>
  </si>
  <si>
    <t>Giải Phóng</t>
  </si>
  <si>
    <t>49.4</t>
  </si>
  <si>
    <t>https://www.tiktok.com/@cleopatra_hn/video/7555832900617260309</t>
  </si>
  <si>
    <t>Long Biên</t>
  </si>
  <si>
    <t>Cầu Vĩnh Tuy</t>
  </si>
  <si>
    <t>43.4</t>
  </si>
  <si>
    <t>https://tienphong.vn/nguoi-ha-noi-boi-tren-cau-vinh-tuy-trong-con-mua-gio-tan-tam-post1637476.tpo</t>
  </si>
  <si>
    <t>Đàm Quang Trung</t>
  </si>
  <si>
    <t>42.3</t>
  </si>
  <si>
    <t>https://kenh14.vn/duong-ha-noi-thanh-song-sau-30-phut-mua-lon-giao-thong-te-liet-215240729194825547.chn</t>
  </si>
  <si>
    <t>Cổ Linh</t>
  </si>
  <si>
    <t>Hồng Tiến</t>
  </si>
  <si>
    <t>1.0</t>
  </si>
  <si>
    <t>Phố Trạm</t>
  </si>
  <si>
    <t>Ngô Gia Tự</t>
  </si>
  <si>
    <t>40.1</t>
  </si>
  <si>
    <t>https://vtv.vn/xa-hoi/mua-lon-ca-dem-nhieu-khu-vuc-noi-thanh-ha-noi-ngap-sau-20240823055848968.htm</t>
  </si>
  <si>
    <t>Cổ Linh (đoạn eo)</t>
  </si>
  <si>
    <t>25.0</t>
  </si>
  <si>
    <t>https://vietnamnet.vn/ngap-menh-mong-tu-ngo-ra-duong-sau-mua-lon-o-ha-noi-2022779.html</t>
  </si>
  <si>
    <t>Nguyễn Sơn</t>
  </si>
  <si>
    <t>133.0</t>
  </si>
  <si>
    <t>https://tuoitre.vn/29-diem-ngap-o-ha-noi-xe-co-khong-the-luu-thong-20251007120908836.htm</t>
  </si>
  <si>
    <t>Hội Vũ</t>
  </si>
  <si>
    <t>38.6</t>
  </si>
  <si>
    <t>https://www.qdnd.vn/xa-hoi/tin-tuc/ha-noi-mua-lon-bat-ngo-nhieu-tuyen-pho-ngap-sau-trong-nuoc-776624</t>
  </si>
  <si>
    <t>Phan Bội Châu</t>
  </si>
  <si>
    <t>https://www.vietnamplus.vn/ha-noi-nhieu-tuyen-pho-ngap-sau-sau-tran-mua-lon-keo-dai-post946997.vnp</t>
  </si>
  <si>
    <t>Bảo Linh</t>
  </si>
  <si>
    <t>https://baotintuc.vn/xa-hoi/nhieu-ngo-pho-ngoai-de-hoan-kiem-ha-noi-ngap-sau-nguoi-dan-di-thuyen-tren-pho-20240911113436141.htm</t>
  </si>
  <si>
    <t>Ngõ 46 Chương Dương Độ</t>
  </si>
  <si>
    <t>https://tuoitre.vn/dan-ha-noi-di-xuong-o-quan-hoan-kiem-khi-muc-nuoc-song-hong-vuot-bao-dong-2-20240911074140718.htm</t>
  </si>
  <si>
    <t>https://e.vnexpress.net/photo/environment/heavy-rain-floods-hanois-old-quarter-disrupting-businesses-4781274.html</t>
  </si>
  <si>
    <t>Lê Lai</t>
  </si>
  <si>
    <t>Đường Thành</t>
  </si>
  <si>
    <t>http://vov.vn/tin-24h/ly-giai-nguyen-nhan-khien-khu-vuc-ho-guom-ngap-thanh-bien-nuoc-1084798.vov</t>
  </si>
  <si>
    <t>Mỗ Lao</t>
  </si>
  <si>
    <t>KĐT Văn Phú</t>
  </si>
  <si>
    <t>https://vtv.vn/xa-hoi/ha-noi-mua-lon-don-dap-gay-ngap-nhieu-tuyen-pho-20240513061014092.htm</t>
  </si>
  <si>
    <t>https://tuoitrethudo.vn/nuoc-song-dang-cao-ha-dong-bi-ngap-ung-nhieu-diem-259501.html</t>
  </si>
  <si>
    <t>Bến Phà</t>
  </si>
  <si>
    <t>Yên Bình</t>
  </si>
  <si>
    <t>https://kinhtedothi.vn/nhieu-ho-dan-o-ha-dong-thuong-xuyen-bi-co-lap-sau-moi-tran-mua-lon.html</t>
  </si>
  <si>
    <t>Lê Lợi</t>
  </si>
  <si>
    <t>https://baotintuc.vn/xa-hoi/mua-lon-gay-ngap-ung-mot-so-tuyen-duong-tai-ha-noi-20230928095836388.htm</t>
  </si>
  <si>
    <t>Ba La</t>
  </si>
  <si>
    <t>79.1</t>
  </si>
  <si>
    <t>https://www.facebook.com/share/r/1B1fGqPVfj/</t>
  </si>
  <si>
    <t>Vũ Trọng Khánh</t>
  </si>
  <si>
    <t>https://www.tiktok.com/@sisi.vy/video/7555828812538318088</t>
  </si>
  <si>
    <t>Liễu Giai</t>
  </si>
  <si>
    <t>86.2</t>
  </si>
  <si>
    <t>https://vnexpress.net/ha-noi-mua-lon-ngap-nhieu-tuyen-pho-4754549.html</t>
  </si>
  <si>
    <t>Trúc Bạch</t>
  </si>
  <si>
    <t>https://news.tuoitre.vn/downtown-streets-drowned-by-drawn-out-downpour-in-hanoi-10379837.htm</t>
  </si>
  <si>
    <t>An Dương</t>
  </si>
  <si>
    <t>Cao Bá Quát</t>
  </si>
  <si>
    <t>https://nhandan.vn/mua-to-gay-ngap-ung-cuc-bo-mot-so-tuyen-pho-ha-noi-post824121.html</t>
  </si>
  <si>
    <t>https://znews.vn/nguoi-dan-trang-dem-tat-nuoc-don-dep-nha-cua-sau-tran-mua-lon-post1214423.html</t>
  </si>
  <si>
    <t>Đội Cấn (đợt 2)</t>
  </si>
  <si>
    <t>https://vietnamnet.vn/cap-nhat-82-diem-ung-ngap-khong-the-di-qua-tren-dia-ban-ha-noi-2447731.html</t>
  </si>
  <si>
    <t>https://vietnamnet.vn/ha-noi-vua-mua-to-khap-nga-duong-ngap-sau-cay-do-chan-pho-553240.html</t>
  </si>
  <si>
    <t>Tân Ấp</t>
  </si>
  <si>
    <t>https://vietnamnews.vn/society/1662801/ha-noi-struggles-to-cope-with-severe-flooding-triggered-by-heavy-rain.html</t>
  </si>
  <si>
    <t>Loại dữ liệu</t>
  </si>
  <si>
    <t xml:space="preserve">Số bản ghi </t>
  </si>
  <si>
    <t>Nguồn (source/Link)</t>
  </si>
  <si>
    <t xml:space="preserve">Ghi chú </t>
  </si>
  <si>
    <t>báo chí</t>
  </si>
  <si>
    <t xml:space="preserve">cơ quan nhà nước </t>
  </si>
  <si>
    <t>https://laodong.vn/photo/ha-noi-mua-nhu-trut-nuoc-nguoi-dan-chat-vat-boi-qua-diem-ngap-1064472.ldo/https://tuoitre.vn/tu-chieu-toi-5-7-ha-noi-mua-nhu-trut-nuoc-co-noi-250mm-duong-ngap-cay-do-xe-ket-20220705175500419.htm</t>
  </si>
  <si>
    <t>video hiện trường</t>
  </si>
  <si>
    <t>báo chí và cơ quan nhà nước</t>
  </si>
  <si>
    <t>video hiện trường và báo chí</t>
  </si>
  <si>
    <t xml:space="preserve">báo chí </t>
  </si>
  <si>
    <t>cơ quan nhà nước</t>
  </si>
  <si>
    <t>https://congthuong.vn/ha-noi-canh-bao-ngap-lut-tu-dem-79-do-bao-so-3-344161.html</t>
  </si>
  <si>
    <r>
      <rPr>
        <u/>
        <sz val="12"/>
        <color rgb="FF1155CC"/>
        <rFont val="Times New Roman"/>
      </rPr>
      <t>https://news.tuoitre.vn/downtown-streets-drowned-by-drawn-out-downpour-in-hanoi-10379837.htm</t>
    </r>
  </si>
  <si>
    <r>
      <rPr>
        <sz val="12"/>
        <rFont val="Times New Roman"/>
      </rPr>
      <t xml:space="preserve">https://www.youtube.com/watch?v=iI8hM14WddM &amp;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</si>
  <si>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r>
      <rPr>
        <sz val="12"/>
        <rFont val="Times New Roman"/>
      </rPr>
      <t xml:space="preserve">https://www.youtube.com/watch?v=iI8hM14WddM &amp;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</si>
  <si>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r>
      <rPr>
        <u/>
        <sz val="12"/>
        <color rgb="FF1155CC"/>
        <rFont val="Times New Roman"/>
      </rPr>
      <t>https://nongnghiepmoitruong.vn/nhieu-tuyen-duong-o-ha-noi-ngap-sau-sau-tran-mua-lon-sang-1-5-d751024.html</t>
    </r>
  </si>
  <si>
    <r>
      <rPr>
        <u/>
        <sz val="12"/>
        <color rgb="FF1155CC"/>
        <rFont val="Times New Roman"/>
      </rPr>
      <t>https://vtv.vn/xa-hoi/mua-lon-gay-ngap-ung-cuc-bo-tai-ha-noi-20240520061735155.htm</t>
    </r>
  </si>
  <si>
    <r>
      <rPr>
        <u/>
        <sz val="12"/>
        <color rgb="FF1155CC"/>
        <rFont val="Times New Roman"/>
      </rPr>
      <t>https://kinhtedothi.vn/ha-noi-mua-to-xoi-xa-nhieu-tuyen-duong-ngap-sau.html</t>
    </r>
  </si>
  <si>
    <r>
      <rPr>
        <sz val="12"/>
        <rFont val="Times New Roman"/>
      </rPr>
      <t xml:space="preserve">https://kinhtedothi.vn/quan-nam-tu-liem-tich-cuc-khac-phuc-hau-qua-sau-bao &amp; </t>
    </r>
    <r>
      <rPr>
        <u/>
        <sz val="12"/>
        <color rgb="FF1155CC"/>
        <rFont val="Times New Roman"/>
      </rPr>
      <t>https://hanoitimes.vn/super-typhoon-yagi-weakens-to-tropical-depression-heavy-rain-flooding-landslides-expected.593867.html</t>
    </r>
  </si>
  <si>
    <r>
      <rPr>
        <sz val="12"/>
        <rFont val="Times New Roman"/>
      </rPr>
      <t xml:space="preserve">https://kinhtedothi.vn/quan-nam-tu-liem-tich-cuc-khac-phuc-hau-qua-sau-bao &amp; </t>
    </r>
    <r>
      <rPr>
        <u/>
        <sz val="12"/>
        <color rgb="FF1155CC"/>
        <rFont val="Times New Roman"/>
      </rPr>
      <t>https://hanoitimes.vn/super-typhoon-yagi-weakens-to-tropical-depression-heavy-rain-flooding-landslides-expected.593867.html</t>
    </r>
  </si>
  <si>
    <r>
      <rPr>
        <sz val="12"/>
        <rFont val="Times New Roman"/>
      </rPr>
      <t xml:space="preserve">https://kinhtedothi.vn/quan-nam-tu-liem-tich-cuc-khac-phuc-hau-qua-sau-bao &amp; </t>
    </r>
    <r>
      <rPr>
        <u/>
        <sz val="12"/>
        <color rgb="FF1155CC"/>
        <rFont val="Times New Roman"/>
      </rPr>
      <t>https://hanoitimes.vn/super-typhoon-yagi-weakens-to-tropical-depression-heavy-rain-flooding-landslides-expected.593867.html</t>
    </r>
  </si>
  <si>
    <r>
      <rPr>
        <sz val="12"/>
        <rFont val="Times New Roman"/>
      </rPr>
      <t xml:space="preserve">https://bnews.vn/nhieu-tuyen-pho-ha-noi-lai-ngap-sau-do-mua-lon-keo-dai/307968.html &amp; </t>
    </r>
    <r>
      <rPr>
        <u/>
        <sz val="12"/>
        <color rgb="FF1155CC"/>
        <rFont val="Times New Roman"/>
      </rPr>
      <t>https://nguoidothi.net.vn/ha-noi-bao-gio-het-ngap-lut-ben-vung-41139.html</t>
    </r>
  </si>
  <si>
    <r>
      <rPr>
        <sz val="12"/>
        <rFont val="Times New Roman"/>
      </rPr>
      <t xml:space="preserve">https://bnews.vn/nhieu-tuyen-pho-ha-noi-lai-ngap-sau-do-mua-lon-keo-dai/307968.html &amp; </t>
    </r>
    <r>
      <rPr>
        <u/>
        <sz val="12"/>
        <color rgb="FF1155CC"/>
        <rFont val="Times New Roman"/>
      </rPr>
      <t>https://nguoidothi.net.vn/ha-noi-bao-gio-het-ngap-lut-ben-vung-41139.html</t>
    </r>
  </si>
  <si>
    <r>
      <rPr>
        <sz val="12"/>
        <rFont val="Times New Roman"/>
      </rPr>
      <t xml:space="preserve">https://bnews.vn/nhieu-tuyen-pho-ha-noi-lai-ngap-sau-do-mua-lon-keo-dai/307968.html &amp; </t>
    </r>
    <r>
      <rPr>
        <u/>
        <sz val="12"/>
        <color rgb="FF1155CC"/>
        <rFont val="Times New Roman"/>
      </rPr>
      <t>https://nguoidothi.net.vn/ha-noi-bao-gio-het-ngap-lut-ben-vung-41139.html</t>
    </r>
  </si>
  <si>
    <r>
      <rPr>
        <sz val="12"/>
        <rFont val="Times New Roman"/>
      </rPr>
      <t xml:space="preserve">https://www.youtube.com/watch?v=CbikeX3cG8k &amp; </t>
    </r>
    <r>
      <rPr>
        <u/>
        <sz val="12"/>
        <color rgb="FF1155CC"/>
        <rFont val="Times New Roman"/>
      </rPr>
      <t>https://tienphong.vn/cap-nhat-54-diem-ngap-sau-o-ha-noi-nguoi-dan-di-chuyen-bang-thuyen-o-my-dinh-post1784727.tpo</t>
    </r>
  </si>
  <si>
    <r>
      <rPr>
        <sz val="12"/>
        <rFont val="Times New Roman"/>
      </rPr>
      <t xml:space="preserve">https://www.youtube.com/watch?v=CbikeX3cG8k &amp; </t>
    </r>
    <r>
      <rPr>
        <u/>
        <sz val="12"/>
        <color rgb="FF1155CC"/>
        <rFont val="Times New Roman"/>
      </rPr>
      <t>https://tienphong.vn/cap-nhat-54-diem-ngap-sau-o-ha-noi-nguoi-dan-di-chuyen-bang-thuyen-o-my-dinh-post1784727.tpo</t>
    </r>
  </si>
  <si>
    <r>
      <rPr>
        <u/>
        <sz val="12"/>
        <color rgb="FF1155CC"/>
        <rFont val="Times New Roman"/>
      </rPr>
      <t>https://kinhtedothi.vn/ha-noi-giao-thong-nhieu-noi-dinh-tre-do-tran-mua-lon-chieu-29-5.html</t>
    </r>
    <r>
      <rPr>
        <sz val="12"/>
        <rFont val="Times New Roman"/>
      </rPr>
      <t xml:space="preserve"> &amp; https://vovgiaothong.vn/chong-ngap-cho-ha-noi-d27202.html</t>
    </r>
  </si>
  <si>
    <r>
      <rPr>
        <u/>
        <sz val="12"/>
        <color rgb="FF1155CC"/>
        <rFont val="Times New Roman"/>
      </rPr>
      <t>https://kinhtedothi.vn/ha-noi-giao-thong-nhieu-noi-dinh-tre-do-tran-mua-lon-chieu-29-5.html</t>
    </r>
    <r>
      <rPr>
        <sz val="12"/>
        <rFont val="Times New Roman"/>
      </rPr>
      <t xml:space="preserve"> &amp; </t>
    </r>
    <r>
      <rPr>
        <u/>
        <sz val="12"/>
        <color rgb="FF1155CC"/>
        <rFont val="Times New Roman"/>
      </rPr>
      <t>https://vovgiaothong.vn/chong-ngap-cho-ha-noi-d27202.html</t>
    </r>
  </si>
  <si>
    <r>
      <rPr>
        <u/>
        <sz val="12"/>
        <color rgb="FF1155CC"/>
        <rFont val="Times New Roman"/>
      </rPr>
      <t>https://vovgiaothong.vn/chong-ngap-cho-ha-noi-d27202.html</t>
    </r>
    <r>
      <rPr>
        <sz val="12"/>
        <rFont val="Times New Roman"/>
      </rPr>
      <t xml:space="preserve">                      </t>
    </r>
    <r>
      <rPr>
        <u/>
        <sz val="12"/>
        <color rgb="FF1155CC"/>
        <rFont val="Times New Roman"/>
      </rPr>
      <t>https://kinhtedothi.vn/ha-noi-giao-thong-nhieu-noi-dinh-tre-do-tran-mua-lon-chieu-29-5.html</t>
    </r>
  </si>
  <si>
    <r>
      <rPr>
        <u/>
        <sz val="12"/>
        <color rgb="FF1155CC"/>
        <rFont val="Times New Roman"/>
      </rPr>
      <t>https://vovgiaothong.vn/chong-ngap-cho-ha-noi-d27202.html</t>
    </r>
    <r>
      <rPr>
        <sz val="12"/>
        <rFont val="Times New Roman"/>
      </rPr>
      <t xml:space="preserve">                      </t>
    </r>
    <r>
      <rPr>
        <u/>
        <sz val="12"/>
        <color rgb="FF1155CC"/>
        <rFont val="Times New Roman"/>
      </rPr>
      <t>https://kinhtedothi.vn/ha-noi-giao-thong-nhieu-noi-dinh-tre-do-tran-mua-lon-chieu-29-5.html</t>
    </r>
  </si>
  <si>
    <r>
      <rPr>
        <u/>
        <sz val="12"/>
        <color rgb="FF1155CC"/>
        <rFont val="Times New Roman"/>
      </rPr>
      <t>https://vovgiaothong.vn/chong-ngap-cho-ha-noi-d27202.html</t>
    </r>
    <r>
      <rPr>
        <sz val="12"/>
        <rFont val="Times New Roman"/>
      </rPr>
      <t xml:space="preserve">                      </t>
    </r>
    <r>
      <rPr>
        <u/>
        <sz val="12"/>
        <color rgb="FF1155CC"/>
        <rFont val="Times New Roman"/>
      </rPr>
      <t>https://kinhtedothi.vn/ha-noi-giao-thong-nhieu-noi-dinh-tre-do-tran-mua-lon-chieu-29-5.html</t>
    </r>
  </si>
  <si>
    <r>
      <rPr>
        <u/>
        <sz val="12"/>
        <color rgb="FF1155CC"/>
        <rFont val="Times New Roman"/>
      </rPr>
      <t>https://vovgiaothong.vn/chong-ngap-cho-ha-noi-d27202.html</t>
    </r>
    <r>
      <rPr>
        <sz val="12"/>
        <rFont val="Times New Roman"/>
      </rPr>
      <t xml:space="preserve">                      </t>
    </r>
    <r>
      <rPr>
        <u/>
        <sz val="12"/>
        <color rgb="FF1155CC"/>
        <rFont val="Times New Roman"/>
      </rPr>
      <t>https://kinhtedothi.vn/ha-noi-giao-thong-nhieu-noi-dinh-tre-do-tran-mua-lon-chieu-29-5.html</t>
    </r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</si>
  <si>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color rgb="FF000000"/>
        <rFont val="Times New Roman"/>
      </rPr>
      <t xml:space="preserve">       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</si>
  <si>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color rgb="FF000000"/>
        <rFont val="Times New Roman"/>
      </rPr>
      <t xml:space="preserve">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</si>
  <si>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r>
      <rPr>
        <u/>
        <sz val="12"/>
        <color rgb="FF1155CC"/>
        <rFont val="Times New Roman"/>
      </rPr>
      <t>https://laodong.vn/moi-truong/nhieu-tuyen-duong-van-chua-the-luu-thong-ha-noi-mo-cua-phai-cac-ho-dieu-hoa-thoat-nuoc-1564043.ldo</t>
    </r>
    <r>
      <rPr>
        <sz val="12"/>
        <rFont val="Times New Roman"/>
      </rPr>
      <t xml:space="preserve">                       </t>
    </r>
    <r>
      <rPr>
        <u/>
        <sz val="12"/>
        <color rgb="FF1155CC"/>
        <rFont val="Times New Roman"/>
      </rPr>
      <t>https://tuoitre.vn/vi-sao-loat-tuyen-pho-ha-noi-ngap-trong-bien-nuoc-sang-26-8-20250826121609981.htm</t>
    </r>
  </si>
  <si>
    <r>
      <rPr>
        <u/>
        <sz val="12"/>
        <color rgb="FF1155CC"/>
        <rFont val="Times New Roman"/>
      </rPr>
      <t>Mưa lớn, hàng loạt tuyến phố ở Hà Nội ngập nặng - ThienNhien.Net | Con người và Thiên nhiên</t>
    </r>
  </si>
  <si>
    <r>
      <rPr>
        <u/>
        <sz val="12"/>
        <color rgb="FF1155CC"/>
        <rFont val="Times New Roman"/>
      </rPr>
      <t>Hà Nội: Mưa ngập nhiều tuyến đường, công nhân dầm mình xử lý thoát nước</t>
    </r>
  </si>
  <si>
    <r>
      <rPr>
        <u/>
        <sz val="12"/>
        <color rgb="FF1155CC"/>
        <rFont val="Times New Roman"/>
      </rPr>
      <t>Nhiều tuyến phố Hà Nội ngập sâu sau mưa lớn - Báo VnExpress</t>
    </r>
  </si>
  <si>
    <r>
      <rPr>
        <u/>
        <sz val="12"/>
        <color rgb="FF1155CC"/>
        <rFont val="Times New Roman"/>
      </rPr>
      <t>Đường phố Hà Nội ngập lênh láng sau cơn mưa lớn, dân phải lội cả trên vỉa hè - Tuổi Trẻ Online</t>
    </r>
  </si>
  <si>
    <r>
      <rPr>
        <u/>
        <sz val="12"/>
        <color rgb="FF1155CC"/>
        <rFont val="Times New Roman"/>
      </rPr>
      <t>Người dân Hà Nội bì bõm lội nước sau trận mưa ngày 28/9</t>
    </r>
  </si>
  <si>
    <r>
      <rPr>
        <u/>
        <sz val="12"/>
        <color rgb="FF1155CC"/>
        <rFont val="Times New Roman"/>
      </rPr>
      <t>Hà Nội vẫn còn 122 điểm ngập nước, trong đó 23 điểm ngập sâu, không lưu thông được</t>
    </r>
  </si>
  <si>
    <r>
      <rPr>
        <u/>
        <sz val="12"/>
        <color rgb="FF1155CC"/>
        <rFont val="Times New Roman"/>
      </rPr>
      <t>Hà Nội vẫn còn 122 điểm ngập nước, trong đó 23 điểm ngập sâu, không lưu thông được</t>
    </r>
  </si>
  <si>
    <t>Converted value</t>
  </si>
  <si>
    <t>Content</t>
  </si>
  <si>
    <t>Extreme rain</t>
  </si>
  <si>
    <t>The article emphasizes the exceptionally heavy rainfall, exceeding historical records, using terms like "pouring" and "torrential." It describes heavy rainfall occurring in a single day or over an extended period.</t>
  </si>
  <si>
    <t>Poor infrastructure</t>
  </si>
  <si>
    <t>The article mentions: Old sewers, low ground level, and naturally low-lying areas.</t>
  </si>
  <si>
    <t>Construction works</t>
  </si>
  <si>
    <t>The article mentions: The project is unfinished, barricades are blocking the stream, and earth and rocks are filling in the culverts.</t>
  </si>
  <si>
    <t>River water level is high</t>
  </si>
  <si>
    <t>The article mentions: The Red River and Nhue River are rising due to high tides, and the water cannot drain into the rivers.</t>
  </si>
  <si>
    <t>Nội dung</t>
  </si>
  <si>
    <t>Severity Levels</t>
  </si>
  <si>
    <t>Traffic congestion</t>
  </si>
  <si>
    <t>Slow movement, traffic jams, difficulties, congestion (but vehicles can still move)</t>
  </si>
  <si>
    <t>Low</t>
  </si>
  <si>
    <t>Vehicles breaking down</t>
  </si>
  <si>
    <t>Numerous vehicles break down, requiring drivers to push them, calling for roadside assistance, water flooding up to exhaust pipes</t>
  </si>
  <si>
    <t>Medium</t>
  </si>
  <si>
    <t>Water flooding into houses</t>
  </si>
  <si>
    <t>Water enters homes, floods apartment building basements, damages property/furniture, disrupts daily life</t>
  </si>
  <si>
    <t>High</t>
  </si>
  <si>
    <t>Complete paralysis</t>
  </si>
  <si>
    <t>Traffic is cut off, impossible to move, vehicles turn around, boats/rafts must be used.</t>
  </si>
  <si>
    <t>Critical</t>
  </si>
  <si>
    <t>28/09/2023</t>
  </si>
  <si>
    <t>24/07/2024</t>
  </si>
  <si>
    <t>23/08/2024</t>
  </si>
  <si>
    <t>16/09/2024</t>
  </si>
  <si>
    <t>22/08/2024</t>
  </si>
  <si>
    <t>15/07/2019</t>
  </si>
  <si>
    <t>25/05/2016</t>
  </si>
  <si>
    <t>Rain_duration (hours)</t>
  </si>
  <si>
    <t xml:space="preserve">Traffic congestion </t>
  </si>
  <si>
    <t xml:space="preserve">Water flooding into houses </t>
  </si>
  <si>
    <r>
      <rPr>
        <sz val="12"/>
        <rFont val="Times New Roman"/>
        <family val="1"/>
      </rPr>
      <t xml:space="preserve">https://kinhtedothi.vn/quan-nam-tu-liem-tich-cuc-khac-phuc-hau-qua-sau-bao &amp; </t>
    </r>
    <r>
      <rPr>
        <u/>
        <sz val="12"/>
        <color rgb="FF1155CC"/>
        <rFont val="Times New Roman"/>
        <family val="1"/>
      </rPr>
      <t>https://hanoitimes.vn/super-typhoon-yagi-weakens-to-tropical-depression-heavy-rain-flooding-landslides-expected.593867.html</t>
    </r>
  </si>
  <si>
    <r>
      <rPr>
        <u/>
        <sz val="12"/>
        <color rgb="FF1155CC"/>
        <rFont val="Times New Roman"/>
        <family val="1"/>
      </rPr>
      <t>https://kinhtedothi.vn/ha-noi-giao-thong-nhieu-noi-dinh-tre-do-tran-mua-lon-chieu-29-5.html</t>
    </r>
    <r>
      <rPr>
        <sz val="12"/>
        <rFont val="Times New Roman"/>
        <family val="1"/>
      </rPr>
      <t xml:space="preserve"> &amp; https://vovgiaothong.vn/chong-ngap-cho-ha-noi-d27202.html</t>
    </r>
  </si>
  <si>
    <r>
      <t xml:space="preserve">  </t>
    </r>
    <r>
      <rPr>
        <u/>
        <sz val="12"/>
        <color rgb="FF1155CC"/>
        <rFont val="Times New Roman"/>
      </rPr>
      <t>https://nld.com.vn/thoi-su/ha-noi-ngap-sau-sinh-hoat-cua-nguoi-dan-dao-lon-sau-con-mua-lon-20190430115801874.htm</t>
    </r>
    <r>
      <rPr>
        <u/>
        <sz val="12"/>
        <color rgb="FF000000"/>
        <rFont val="Times New Roman"/>
      </rPr>
      <t xml:space="preserve">                                      </t>
    </r>
    <r>
      <rPr>
        <u/>
        <sz val="12"/>
        <color rgb="FF1155CC"/>
        <rFont val="Times New Roman"/>
      </rPr>
      <t>https://laodong.vn/photo/mua-lon-trong-sang-304-nhieu-tuyen-pho-o-ha-noi-ngap-nang-730705.ldo</t>
    </r>
  </si>
  <si>
    <t>Column1</t>
  </si>
  <si>
    <t>13;50</t>
  </si>
  <si>
    <t>24/05/2016</t>
  </si>
  <si>
    <t>Duy Tân</t>
  </si>
  <si>
    <t xml:space="preserve">Phạm Hùng </t>
  </si>
  <si>
    <t>https://vnexpress.net/ha-noi-mua-lon-nhieu-tuyen-pho-bien-thanh-song-3408561.html</t>
  </si>
  <si>
    <t>18/08/2016</t>
  </si>
  <si>
    <t>19/08/2016</t>
  </si>
  <si>
    <t>UBND phường Hoàng Văn Thụ</t>
  </si>
  <si>
    <t>Nguyễn Chính</t>
  </si>
  <si>
    <t>Giải Phóng (trước Bến xe phía Nam)</t>
  </si>
  <si>
    <t>Phùng Khoang</t>
  </si>
  <si>
    <t>Vĩnh Hưng (126 Vĩnh Hưng)</t>
  </si>
  <si>
    <t>https://baotintuc.vn/thoi-su/ha-noi-nhieu-nha-bi-toc-mai-3-nguoi-bi-thuong-20160819171509612.htm</t>
  </si>
  <si>
    <t>Thụy Khuê (dốc La Pho)</t>
  </si>
  <si>
    <t>https://vtv.vn/doi-song/ha-noi-nhieu-tuyen-duong-ngap-lut-trong-dem-18-8-do-anh-huong-tu-con-bao-so-3-20160819105620154.htm</t>
  </si>
  <si>
    <t>Nguyễn Siêu - Ngõ Gạch</t>
  </si>
  <si>
    <t>Tạ Hiện-Lương Ngọc Quyến</t>
  </si>
  <si>
    <t>Phùng Hưng-Bát Đàn- Đường Thành - Nhà Hỏa</t>
  </si>
  <si>
    <t>25/07/2019</t>
  </si>
  <si>
    <t xml:space="preserve">Phùng Hưng </t>
  </si>
  <si>
    <t>https://e.vnexpress.net/news/news/commuters-struggle-as-downpour-floods-hanoi-streets-3958100.html</t>
  </si>
  <si>
    <t>22/09/2015</t>
  </si>
  <si>
    <t>Kim Liên</t>
  </si>
  <si>
    <t>Ngọc Lâm</t>
  </si>
  <si>
    <t>vòng xuyến ngã tư Cổ Linh</t>
  </si>
  <si>
    <t>Nguyễn Văn Linh</t>
  </si>
  <si>
    <t>Hoàng Như Tiếp</t>
  </si>
  <si>
    <t xml:space="preserve">Phan Bội Châu </t>
  </si>
  <si>
    <t>19/06/2017</t>
  </si>
  <si>
    <t>Lý Thường Kiệt</t>
  </si>
  <si>
    <t>https://www.vietnamplus.vn/cac-tuyen-pho-ha-noi-dang-bi-ngap-cuc-bo-do-mua-lon-chieu-196-post452177.vnp</t>
  </si>
  <si>
    <t>Thợ Nhuộm</t>
  </si>
  <si>
    <t>https://tuoitre.vn/duong-pho-ha-noi-ngap-nang-sau-tran-mua-lon-nhat-tu-dau-nam-20180512222935759.htm</t>
  </si>
  <si>
    <t>21/07/2018</t>
  </si>
  <si>
    <t>https://baotintuc.vn/xa-hoi/mua-suot-dem-tai-ha-noi-xuat-hien-mot-so-diem-ung-ngap-20180721072512487.htm</t>
  </si>
  <si>
    <t>Đại Lộ Thăng Long (giao Lê Trọng Tấn)</t>
  </si>
  <si>
    <t>Phạm Văn Đồng (Xuân Đỉnh – Tân Xuân)</t>
  </si>
  <si>
    <t>Phạm Văn Đồng (Đình Giàn)</t>
  </si>
  <si>
    <t>Yên Hòa</t>
  </si>
  <si>
    <t>26/09/2018</t>
  </si>
  <si>
    <t>Thụy Khuê</t>
  </si>
  <si>
    <t>https://thanhnien.vn/nhieu-tuyen-pho-ha-noi-nuoc-ngap-sau-sau-tran-mua-lon-185791750.htm</t>
  </si>
  <si>
    <t>30/09/2025</t>
  </si>
  <si>
    <t>https://tuoitre.vn/ha-noi-mua-lon-nhieu-tuyen-pho-bong-hoa-thanh-song-20230620200551863.htm</t>
  </si>
  <si>
    <t>dốc La Pho</t>
  </si>
  <si>
    <t>20/06/2023</t>
  </si>
  <si>
    <t>https://vietnamnet.vn/danh-sach-65-diem-ung-ngap-tren-dia-ban-ha-noi-2447657.html</t>
  </si>
  <si>
    <t>21/07/2021</t>
  </si>
  <si>
    <t>Kim Ngưu</t>
  </si>
  <si>
    <t>https://tuoitre.vn/nhieu-tuyen-pho-ha-noi-ngap-ngang-bung-sau-con-mua-dong-2021051119085966.htm</t>
  </si>
  <si>
    <t>https://vnanet.vn/vi/anh/anh-thoi-su-trong-nuoc-1014/ha-noi-mot-so-tuyen-pho-bi-ngap-sau-con-mua-chieu-nay-5568428.html</t>
  </si>
  <si>
    <t>phố Kim Mã Thượng</t>
  </si>
  <si>
    <t xml:space="preserve">Yên Hòa </t>
  </si>
  <si>
    <t xml:space="preserve">Hoàng Quốc Việt </t>
  </si>
  <si>
    <t>https://cafef.vn/nhieu-tuyen-pho-tai-ha-noi-ngap-nang-sau-con-mua-chieu-20210607202713296.chn</t>
  </si>
  <si>
    <t>Phạm Hùng (đoạn Mai Dịch)</t>
  </si>
  <si>
    <t>Tây Mỗ</t>
  </si>
  <si>
    <t>Cầu Bươu</t>
  </si>
  <si>
    <t>https://vtv.vn/ha-noi-con-21-tuyen-duong-ngap-sau-trong-sang-8-10-100251008103920423.htm</t>
  </si>
  <si>
    <t>Nghĩa Tân</t>
  </si>
  <si>
    <t>https://znews.vn/ha-noi-ngap-sau-giao-thong-roi-loan-sau-mua-lon-post577362.html</t>
  </si>
  <si>
    <t>14/08/2024</t>
  </si>
  <si>
    <t xml:space="preserve">Vĩnh Hưng </t>
  </si>
  <si>
    <t>Quan Thánh</t>
  </si>
  <si>
    <t>nasa_rain_mm</t>
  </si>
  <si>
    <t>Longtitude</t>
  </si>
  <si>
    <t>Distance_to_Water_m</t>
  </si>
  <si>
    <t>Rain_24h_mm</t>
  </si>
  <si>
    <t>Rain_Intensity</t>
  </si>
  <si>
    <t>Rain_Source</t>
  </si>
  <si>
    <t>Open-Meteo Historical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</si>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</sst>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0000"/>
    <numFmt numFmtId="165" formatCode="dd/mm/yyyy"/>
    <numFmt numFmtId="166" formatCode="hh:mm"/>
    <numFmt numFmtId="167" formatCode="0.00000"/>
    <numFmt numFmtId="168" formatCode="d/m/yyyy"/>
    <numFmt numFmtId="169" formatCode="d\.m"/>
    <numFmt numFmtId="170" formatCode="h:mm;@"/>
    <numFmt numFmtId="173" formatCode="&quot;$&quot;#,##0.00"/>
  </numFmts>
  <fonts count="8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</font>
    <font>
      <sz val="12"/>
      <color rgb="FF434343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0000FF"/>
      <name val="Times New Roman"/>
    </font>
    <font>
      <sz val="12"/>
      <color rgb="FF212529"/>
      <name val="Times New Roman"/>
    </font>
    <font>
      <sz val="12"/>
      <color rgb="FF111111"/>
      <name val="Times New Roman"/>
    </font>
    <font>
      <sz val="12"/>
      <color rgb="FF292929"/>
      <name val="Times New Roman"/>
    </font>
    <font>
      <sz val="12"/>
      <color rgb="FF222222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sz val="12"/>
      <color rgb="FF313131"/>
      <name val="Times New Roman"/>
    </font>
    <font>
      <u/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theme="1"/>
      <name val="Times New Roman"/>
    </font>
    <font>
      <u/>
      <sz val="12"/>
      <color theme="1"/>
      <name val="Times New Roman"/>
    </font>
    <font>
      <u/>
      <sz val="12"/>
      <color rgb="FF000000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434343"/>
      <name val="Times New Roman"/>
    </font>
    <font>
      <u/>
      <sz val="12"/>
      <color rgb="FF434343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434343"/>
      <name val="Times New Roman"/>
    </font>
    <font>
      <u/>
      <sz val="12"/>
      <color rgb="FF0000FF"/>
      <name val="Times New Roman"/>
    </font>
    <font>
      <sz val="12"/>
      <name val="Times New Roman"/>
    </font>
    <font>
      <u/>
      <sz val="10"/>
      <color theme="10"/>
      <name val="Arial"/>
      <scheme val="minor"/>
    </font>
    <font>
      <b/>
      <sz val="12"/>
      <name val="Times New Roman"/>
    </font>
    <font>
      <sz val="10"/>
      <name val="Arial"/>
      <scheme val="minor"/>
    </font>
    <font>
      <b/>
      <sz val="12"/>
      <color theme="1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12529"/>
      <name val="Times New Roman"/>
      <family val="1"/>
    </font>
    <font>
      <sz val="12"/>
      <color rgb="FF0A0A0A"/>
      <name val="Times New Roman"/>
      <family val="1"/>
    </font>
    <font>
      <sz val="12"/>
      <color rgb="FF23282C"/>
      <name val="Times New Roman"/>
      <family val="1"/>
    </font>
    <font>
      <sz val="12"/>
      <color rgb="FF222222"/>
      <name val="Times New Roman"/>
      <family val="1"/>
    </font>
    <font>
      <sz val="12"/>
      <color rgb="FF505050"/>
      <name val="Times New Roman"/>
      <family val="1"/>
    </font>
    <font>
      <sz val="12"/>
      <color rgb="FF333333"/>
      <name val="Times New Roman"/>
      <family val="1"/>
    </font>
    <font>
      <u/>
      <sz val="12"/>
      <color rgb="FF0000FF"/>
      <name val="Times New Roman"/>
      <family val="1"/>
    </font>
    <font>
      <b/>
      <sz val="12"/>
      <color rgb="FF0A0A0A"/>
      <name val="Times New Roman"/>
      <family val="1"/>
    </font>
    <font>
      <sz val="12"/>
      <name val="Times New Roman"/>
      <family val="1"/>
    </font>
    <font>
      <u/>
      <sz val="12"/>
      <color rgb="FF1155CC"/>
      <name val="Times New Roman"/>
      <family val="1"/>
    </font>
    <font>
      <sz val="12"/>
      <color rgb="FF292929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CFAF6"/>
        <bgColor rgb="FFFCF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4" fillId="0" borderId="0" applyNumberFormat="0" applyFill="0" applyBorder="0" applyAlignment="0" applyProtection="0"/>
    <xf numFmtId="0" fontId="1" fillId="0" borderId="0"/>
  </cellStyleXfs>
  <cellXfs count="2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0" applyNumberFormat="1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1" xfId="0" applyFont="1" applyBorder="1"/>
    <xf numFmtId="0" fontId="2" fillId="2" borderId="1" xfId="0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9" fillId="3" borderId="1" xfId="0" applyFont="1" applyFill="1" applyBorder="1" applyAlignment="1">
      <alignment horizontal="center"/>
    </xf>
    <xf numFmtId="0" fontId="50" fillId="2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53" fillId="2" borderId="1" xfId="0" applyFont="1" applyFill="1" applyBorder="1" applyAlignment="1">
      <alignment horizontal="center"/>
    </xf>
    <xf numFmtId="0" fontId="54" fillId="3" borderId="1" xfId="0" applyFont="1" applyFill="1" applyBorder="1" applyAlignment="1">
      <alignment horizontal="center"/>
    </xf>
    <xf numFmtId="0" fontId="55" fillId="2" borderId="0" xfId="0" applyFont="1" applyFill="1" applyAlignment="1">
      <alignment horizontal="center"/>
    </xf>
    <xf numFmtId="0" fontId="56" fillId="3" borderId="0" xfId="0" applyFont="1" applyFill="1" applyAlignment="1">
      <alignment horizontal="center"/>
    </xf>
    <xf numFmtId="0" fontId="57" fillId="2" borderId="1" xfId="0" applyFont="1" applyFill="1" applyBorder="1" applyAlignment="1">
      <alignment horizontal="center" wrapText="1"/>
    </xf>
    <xf numFmtId="0" fontId="58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165" fontId="63" fillId="0" borderId="1" xfId="0" applyNumberFormat="1" applyFont="1" applyBorder="1" applyAlignment="1">
      <alignment horizontal="center" vertical="center"/>
    </xf>
    <xf numFmtId="165" fontId="63" fillId="0" borderId="1" xfId="0" applyNumberFormat="1" applyFont="1" applyBorder="1" applyAlignment="1">
      <alignment horizontal="center" vertical="center" wrapText="1"/>
    </xf>
    <xf numFmtId="168" fontId="63" fillId="0" borderId="1" xfId="0" applyNumberFormat="1" applyFont="1" applyBorder="1" applyAlignment="1">
      <alignment horizontal="center" vertical="center"/>
    </xf>
    <xf numFmtId="168" fontId="63" fillId="0" borderId="1" xfId="0" applyNumberFormat="1" applyFont="1" applyBorder="1" applyAlignment="1">
      <alignment horizontal="center" vertical="center" wrapText="1"/>
    </xf>
    <xf numFmtId="165" fontId="63" fillId="0" borderId="0" xfId="0" applyNumberFormat="1" applyFont="1" applyAlignment="1">
      <alignment horizontal="center" vertical="center"/>
    </xf>
    <xf numFmtId="0" fontId="66" fillId="0" borderId="0" xfId="0" applyFont="1"/>
    <xf numFmtId="0" fontId="67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 wrapText="1"/>
    </xf>
    <xf numFmtId="0" fontId="69" fillId="3" borderId="1" xfId="0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0" fontId="72" fillId="3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70" fillId="5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0" fontId="75" fillId="5" borderId="1" xfId="0" applyFont="1" applyFill="1" applyBorder="1" applyAlignment="1">
      <alignment horizontal="center" vertical="center"/>
    </xf>
    <xf numFmtId="0" fontId="76" fillId="5" borderId="1" xfId="0" applyFont="1" applyFill="1" applyBorder="1" applyAlignment="1">
      <alignment horizontal="center" vertical="center"/>
    </xf>
    <xf numFmtId="0" fontId="69" fillId="5" borderId="1" xfId="0" applyFont="1" applyFill="1" applyBorder="1" applyAlignment="1">
      <alignment horizontal="center" vertical="center"/>
    </xf>
    <xf numFmtId="165" fontId="69" fillId="5" borderId="1" xfId="0" applyNumberFormat="1" applyFont="1" applyFill="1" applyBorder="1" applyAlignment="1">
      <alignment horizontal="center" vertical="center" wrapText="1"/>
    </xf>
    <xf numFmtId="168" fontId="69" fillId="5" borderId="1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0" fillId="0" borderId="0" xfId="0" applyFont="1"/>
    <xf numFmtId="164" fontId="4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64" fillId="3" borderId="1" xfId="1" applyFill="1" applyBorder="1" applyAlignment="1">
      <alignment horizontal="center" vertical="center"/>
    </xf>
    <xf numFmtId="0" fontId="78" fillId="3" borderId="1" xfId="0" applyFont="1" applyFill="1" applyBorder="1"/>
    <xf numFmtId="170" fontId="3" fillId="0" borderId="1" xfId="0" applyNumberFormat="1" applyFont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center" vertical="center"/>
    </xf>
    <xf numFmtId="170" fontId="68" fillId="0" borderId="1" xfId="0" applyNumberFormat="1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170" fontId="5" fillId="5" borderId="1" xfId="0" applyNumberFormat="1" applyFont="1" applyFill="1" applyBorder="1" applyAlignment="1">
      <alignment horizontal="center" vertical="center"/>
    </xf>
    <xf numFmtId="170" fontId="5" fillId="5" borderId="1" xfId="0" applyNumberFormat="1" applyFont="1" applyFill="1" applyBorder="1" applyAlignment="1">
      <alignment horizontal="center" vertical="center" wrapText="1"/>
    </xf>
    <xf numFmtId="170" fontId="5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vertical="center"/>
    </xf>
    <xf numFmtId="170" fontId="0" fillId="0" borderId="0" xfId="0" applyNumberFormat="1"/>
    <xf numFmtId="2" fontId="68" fillId="0" borderId="1" xfId="0" applyNumberFormat="1" applyFont="1" applyBorder="1" applyAlignment="1">
      <alignment horizontal="center" vertical="center"/>
    </xf>
    <xf numFmtId="0" fontId="64" fillId="0" borderId="1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64" fillId="2" borderId="1" xfId="1" applyFill="1" applyBorder="1" applyAlignment="1">
      <alignment horizontal="center" vertical="center"/>
    </xf>
    <xf numFmtId="170" fontId="69" fillId="0" borderId="1" xfId="0" applyNumberFormat="1" applyFont="1" applyBorder="1" applyAlignment="1">
      <alignment horizontal="center" vertical="center"/>
    </xf>
    <xf numFmtId="0" fontId="64" fillId="5" borderId="1" xfId="1" applyFill="1" applyBorder="1" applyAlignment="1">
      <alignment horizontal="center" vertical="center"/>
    </xf>
    <xf numFmtId="170" fontId="69" fillId="5" borderId="1" xfId="0" applyNumberFormat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165" fontId="79" fillId="0" borderId="1" xfId="0" applyNumberFormat="1" applyFont="1" applyBorder="1" applyAlignment="1">
      <alignment horizontal="center" vertical="center"/>
    </xf>
    <xf numFmtId="165" fontId="79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/>
    </xf>
    <xf numFmtId="2" fontId="28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69" fillId="5" borderId="1" xfId="0" applyNumberFormat="1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69" fillId="5" borderId="2" xfId="0" applyFont="1" applyFill="1" applyBorder="1" applyAlignment="1">
      <alignment horizontal="center" vertical="center" wrapText="1"/>
    </xf>
    <xf numFmtId="165" fontId="79" fillId="0" borderId="5" xfId="0" applyNumberFormat="1" applyFont="1" applyBorder="1" applyAlignment="1">
      <alignment horizontal="center" vertical="center" wrapText="1"/>
    </xf>
    <xf numFmtId="165" fontId="69" fillId="5" borderId="3" xfId="0" applyNumberFormat="1" applyFont="1" applyFill="1" applyBorder="1" applyAlignment="1">
      <alignment horizontal="center" vertical="center" wrapText="1"/>
    </xf>
    <xf numFmtId="165" fontId="69" fillId="5" borderId="6" xfId="0" applyNumberFormat="1" applyFont="1" applyFill="1" applyBorder="1" applyAlignment="1">
      <alignment horizontal="center" vertical="center" wrapText="1"/>
    </xf>
    <xf numFmtId="0" fontId="70" fillId="0" borderId="4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165" fontId="69" fillId="5" borderId="4" xfId="0" applyNumberFormat="1" applyFont="1" applyFill="1" applyBorder="1" applyAlignment="1">
      <alignment horizontal="center" vertical="center" wrapText="1"/>
    </xf>
    <xf numFmtId="0" fontId="74" fillId="0" borderId="4" xfId="0" applyFont="1" applyBorder="1" applyAlignment="1">
      <alignment horizontal="center" vertical="center"/>
    </xf>
    <xf numFmtId="2" fontId="70" fillId="5" borderId="1" xfId="0" applyNumberFormat="1" applyFont="1" applyFill="1" applyBorder="1" applyAlignment="1">
      <alignment horizontal="center" vertical="center" wrapText="1"/>
    </xf>
    <xf numFmtId="165" fontId="63" fillId="0" borderId="5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65" fontId="69" fillId="5" borderId="7" xfId="0" applyNumberFormat="1" applyFont="1" applyFill="1" applyBorder="1" applyAlignment="1">
      <alignment horizontal="center" vertical="center" wrapText="1"/>
    </xf>
    <xf numFmtId="165" fontId="63" fillId="0" borderId="8" xfId="0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70" fillId="6" borderId="4" xfId="0" applyFont="1" applyFill="1" applyBorder="1" applyAlignment="1">
      <alignment horizontal="center" vertical="center" wrapText="1"/>
    </xf>
    <xf numFmtId="14" fontId="70" fillId="6" borderId="4" xfId="0" applyNumberFormat="1" applyFont="1" applyFill="1" applyBorder="1" applyAlignment="1">
      <alignment horizontal="center" vertical="center" wrapText="1"/>
    </xf>
    <xf numFmtId="165" fontId="79" fillId="0" borderId="8" xfId="0" applyNumberFormat="1" applyFont="1" applyBorder="1" applyAlignment="1">
      <alignment horizontal="center" vertical="center" wrapText="1"/>
    </xf>
    <xf numFmtId="0" fontId="69" fillId="5" borderId="6" xfId="0" applyFont="1" applyFill="1" applyBorder="1" applyAlignment="1">
      <alignment horizontal="center" vertical="center" wrapText="1"/>
    </xf>
    <xf numFmtId="0" fontId="68" fillId="5" borderId="1" xfId="0" applyFont="1" applyFill="1" applyBorder="1" applyAlignment="1">
      <alignment horizontal="center" vertical="center"/>
    </xf>
    <xf numFmtId="170" fontId="5" fillId="5" borderId="5" xfId="0" applyNumberFormat="1" applyFont="1" applyFill="1" applyBorder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/>
    </xf>
    <xf numFmtId="170" fontId="5" fillId="5" borderId="3" xfId="0" applyNumberFormat="1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  <xf numFmtId="4" fontId="5" fillId="5" borderId="6" xfId="0" applyNumberFormat="1" applyFont="1" applyFill="1" applyBorder="1" applyAlignment="1">
      <alignment horizontal="center" vertical="center" wrapText="1"/>
    </xf>
    <xf numFmtId="170" fontId="70" fillId="6" borderId="4" xfId="0" applyNumberFormat="1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2" fontId="5" fillId="5" borderId="6" xfId="0" applyNumberFormat="1" applyFont="1" applyFill="1" applyBorder="1" applyAlignment="1">
      <alignment horizontal="center" vertical="center" wrapText="1"/>
    </xf>
    <xf numFmtId="165" fontId="70" fillId="6" borderId="4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center" vertical="center" wrapText="1"/>
    </xf>
    <xf numFmtId="0" fontId="69" fillId="5" borderId="3" xfId="0" applyFont="1" applyFill="1" applyBorder="1" applyAlignment="1">
      <alignment horizontal="center" vertical="center" wrapText="1"/>
    </xf>
    <xf numFmtId="165" fontId="70" fillId="6" borderId="9" xfId="0" applyNumberFormat="1" applyFont="1" applyFill="1" applyBorder="1" applyAlignment="1">
      <alignment horizontal="center" vertical="center" wrapText="1"/>
    </xf>
    <xf numFmtId="0" fontId="70" fillId="7" borderId="4" xfId="0" applyFont="1" applyFill="1" applyBorder="1" applyAlignment="1">
      <alignment horizontal="center" vertical="center" wrapText="1"/>
    </xf>
    <xf numFmtId="0" fontId="70" fillId="8" borderId="4" xfId="0" applyFont="1" applyFill="1" applyBorder="1" applyAlignment="1">
      <alignment horizontal="center" vertical="center" wrapText="1"/>
    </xf>
    <xf numFmtId="0" fontId="68" fillId="5" borderId="2" xfId="0" applyFont="1" applyFill="1" applyBorder="1" applyAlignment="1">
      <alignment horizontal="center" vertical="center"/>
    </xf>
    <xf numFmtId="0" fontId="70" fillId="7" borderId="10" xfId="0" applyFont="1" applyFill="1" applyBorder="1" applyAlignment="1">
      <alignment horizontal="center" vertical="center" wrapText="1"/>
    </xf>
    <xf numFmtId="0" fontId="70" fillId="8" borderId="10" xfId="0" applyFont="1" applyFill="1" applyBorder="1" applyAlignment="1">
      <alignment horizontal="center" vertical="center" wrapText="1"/>
    </xf>
    <xf numFmtId="2" fontId="70" fillId="7" borderId="4" xfId="0" applyNumberFormat="1" applyFont="1" applyFill="1" applyBorder="1" applyAlignment="1">
      <alignment horizontal="center" vertical="center" wrapText="1"/>
    </xf>
    <xf numFmtId="2" fontId="70" fillId="8" borderId="4" xfId="0" applyNumberFormat="1" applyFont="1" applyFill="1" applyBorder="1" applyAlignment="1">
      <alignment horizontal="center" vertical="center" wrapText="1"/>
    </xf>
    <xf numFmtId="165" fontId="79" fillId="0" borderId="11" xfId="0" applyNumberFormat="1" applyFont="1" applyBorder="1" applyAlignment="1">
      <alignment horizontal="center" vertical="center" wrapText="1"/>
    </xf>
    <xf numFmtId="0" fontId="69" fillId="5" borderId="1" xfId="1" applyFont="1" applyFill="1" applyBorder="1" applyAlignment="1">
      <alignment horizontal="center" vertical="center"/>
    </xf>
    <xf numFmtId="165" fontId="79" fillId="0" borderId="0" xfId="0" applyNumberFormat="1" applyFont="1" applyAlignment="1">
      <alignment horizontal="center" vertical="center" wrapText="1"/>
    </xf>
    <xf numFmtId="4" fontId="5" fillId="5" borderId="8" xfId="0" applyNumberFormat="1" applyFont="1" applyFill="1" applyBorder="1" applyAlignment="1">
      <alignment horizontal="center" vertical="center" wrapText="1"/>
    </xf>
    <xf numFmtId="164" fontId="70" fillId="5" borderId="1" xfId="0" applyNumberFormat="1" applyFont="1" applyFill="1" applyBorder="1" applyAlignment="1">
      <alignment horizontal="center" vertical="center" wrapText="1"/>
    </xf>
    <xf numFmtId="164" fontId="70" fillId="0" borderId="1" xfId="0" applyNumberFormat="1" applyFont="1" applyBorder="1" applyAlignment="1">
      <alignment horizontal="center" vertical="center"/>
    </xf>
    <xf numFmtId="167" fontId="70" fillId="6" borderId="4" xfId="0" applyNumberFormat="1" applyFont="1" applyFill="1" applyBorder="1" applyAlignment="1">
      <alignment horizontal="center" vertical="center" wrapText="1"/>
    </xf>
    <xf numFmtId="167" fontId="70" fillId="7" borderId="4" xfId="0" applyNumberFormat="1" applyFont="1" applyFill="1" applyBorder="1" applyAlignment="1">
      <alignment horizontal="center" vertical="center" wrapText="1"/>
    </xf>
    <xf numFmtId="167" fontId="70" fillId="0" borderId="4" xfId="0" applyNumberFormat="1" applyFont="1" applyBorder="1" applyAlignment="1">
      <alignment horizontal="center" vertical="center"/>
    </xf>
    <xf numFmtId="167" fontId="79" fillId="9" borderId="4" xfId="0" applyNumberFormat="1" applyFont="1" applyFill="1" applyBorder="1" applyAlignment="1">
      <alignment horizontal="center" vertical="center"/>
    </xf>
    <xf numFmtId="167" fontId="79" fillId="10" borderId="4" xfId="0" applyNumberFormat="1" applyFont="1" applyFill="1" applyBorder="1" applyAlignment="1">
      <alignment horizontal="center" vertical="center"/>
    </xf>
    <xf numFmtId="165" fontId="63" fillId="0" borderId="10" xfId="0" applyNumberFormat="1" applyFont="1" applyBorder="1" applyAlignment="1">
      <alignment horizontal="center" vertical="center" wrapText="1"/>
    </xf>
    <xf numFmtId="165" fontId="79" fillId="0" borderId="14" xfId="0" applyNumberFormat="1" applyFont="1" applyBorder="1" applyAlignment="1">
      <alignment horizontal="center" vertical="center" wrapText="1"/>
    </xf>
    <xf numFmtId="165" fontId="63" fillId="0" borderId="11" xfId="0" applyNumberFormat="1" applyFont="1" applyBorder="1" applyAlignment="1">
      <alignment horizontal="center" vertical="center" wrapText="1"/>
    </xf>
    <xf numFmtId="2" fontId="70" fillId="0" borderId="12" xfId="0" applyNumberFormat="1" applyFont="1" applyBorder="1" applyAlignment="1">
      <alignment horizontal="center" vertical="center"/>
    </xf>
    <xf numFmtId="4" fontId="5" fillId="5" borderId="13" xfId="0" applyNumberFormat="1" applyFont="1" applyFill="1" applyBorder="1" applyAlignment="1">
      <alignment horizontal="center" vertical="center" wrapText="1"/>
    </xf>
    <xf numFmtId="167" fontId="4" fillId="5" borderId="4" xfId="0" applyNumberFormat="1" applyFont="1" applyFill="1" applyBorder="1" applyAlignment="1">
      <alignment horizontal="center" vertical="center" wrapText="1"/>
    </xf>
    <xf numFmtId="0" fontId="82" fillId="0" borderId="4" xfId="2" applyFont="1" applyBorder="1" applyAlignment="1">
      <alignment horizontal="center" vertical="center"/>
    </xf>
    <xf numFmtId="2" fontId="69" fillId="0" borderId="4" xfId="2" applyNumberFormat="1" applyFont="1" applyBorder="1" applyAlignment="1">
      <alignment horizontal="center" vertical="center"/>
    </xf>
    <xf numFmtId="2" fontId="82" fillId="0" borderId="4" xfId="2" applyNumberFormat="1" applyFont="1" applyBorder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164" fontId="67" fillId="2" borderId="1" xfId="0" applyNumberFormat="1" applyFont="1" applyFill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/>
    <xf numFmtId="2" fontId="1" fillId="0" borderId="4" xfId="2" applyNumberFormat="1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173" fontId="5" fillId="5" borderId="1" xfId="0" applyNumberFormat="1" applyFont="1" applyFill="1" applyBorder="1" applyAlignment="1">
      <alignment horizontal="center" vertical="center" wrapText="1"/>
    </xf>
    <xf numFmtId="2" fontId="5" fillId="5" borderId="5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8FFDEEF0-919B-4636-A81D-6E18E455B304}"/>
  </cellStyles>
  <dxfs count="47">
    <dxf>
      <numFmt numFmtId="2" formatCode="0.00"/>
    </dxf>
    <dxf>
      <numFmt numFmtId="170" formatCode="h:mm;@"/>
      <border outline="0">
        <left style="thin">
          <color rgb="FF000000"/>
        </left>
      </border>
    </dxf>
    <dxf>
      <border outline="0">
        <right style="thin">
          <color rgb="FF000000"/>
        </right>
      </border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434343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</dxf>
    <dxf>
      <numFmt numFmtId="170" formatCode="h:mm;@"/>
      <border outline="0">
        <left style="thin">
          <color rgb="FF000000"/>
        </left>
        <right style="thin">
          <color rgb="FF000000"/>
        </right>
      </border>
    </dxf>
    <dxf>
      <numFmt numFmtId="170" formatCode="h:mm;@"/>
    </dxf>
    <dxf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434343"/>
        <name val="Times New Roman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</dxf>
    <dxf>
      <numFmt numFmtId="170" formatCode="h:mm;@"/>
      <border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0000FF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434343"/>
        <name val="Times New Roman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</dxf>
    <dxf>
      <numFmt numFmtId="170" formatCode="h:mm;@"/>
      <border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DATABASE-style" pivot="0" count="3" xr9:uid="{00000000-0011-0000-FFFF-FFFF00000000}">
      <tableStyleElement type="headerRow" dxfId="46"/>
      <tableStyleElement type="firstRowStripe" dxfId="45"/>
      <tableStyleElement type="secondRowStripe" dxfId="44"/>
    </tableStyle>
    <tableStyle name="DATABASE-style 2" pivot="0" count="2" xr9:uid="{00000000-0011-0000-FFFF-FFFF01000000}">
      <tableStyleElement type="firstRowStripe" dxfId="43"/>
      <tableStyleElement type="secondRowStripe" dxfId="42"/>
    </tableStyle>
    <tableStyle name="DATABASE-style 3" pivot="0" count="2" xr9:uid="{00000000-0011-0000-FFFF-FFFF02000000}">
      <tableStyleElement type="firstRowStripe" dxfId="41"/>
      <tableStyleElement type="secondRowStripe" dxfId="40"/>
    </tableStyle>
    <tableStyle name="Thống kê nguồn-style" pivot="0" count="3" xr9:uid="{00000000-0011-0000-FFFF-FFFF03000000}">
      <tableStyleElement type="headerRow" dxfId="39"/>
      <tableStyleElement type="firstRowStripe" dxfId="38"/>
      <tableStyleElement type="secondRowStripe" dxfId="37"/>
    </tableStyle>
    <tableStyle name="Thống kê nguồn-style 2" pivot="0" count="2" xr9:uid="{00000000-0011-0000-FFFF-FFFF04000000}">
      <tableStyleElement type="firstRowStripe" dxfId="36"/>
      <tableStyleElement type="secondRowStripe" dxfId="35"/>
    </tableStyle>
    <tableStyle name="Thống kê nguồn-style 3" pivot="0" count="2" xr9:uid="{00000000-0011-0000-FFFF-FFFF05000000}"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vi-VN" b="0">
                <a:solidFill>
                  <a:srgbClr val="757575"/>
                </a:solidFill>
                <a:latin typeface="+mn-lt"/>
              </a:rPr>
              <a:t>Biểu đồ tròn về tỷ lệ đóng góp của các nguồn dữ liệu thu thập bản ghi ngập lụt đường phố tại Hà Nội giai đoạn 2020–2025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'Thống kê nguồn'!$B$1</c:f>
              <c:strCache>
                <c:ptCount val="1"/>
                <c:pt idx="0">
                  <c:v>Số bản ghi </c:v>
                </c:pt>
              </c:strCache>
            </c:strRef>
          </c:tx>
          <c:dPt>
            <c:idx val="0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1-98EC-4D67-BF9B-3B54FF86A1A7}"/>
              </c:ext>
            </c:extLst>
          </c:dPt>
          <c:dPt>
            <c:idx val="1"/>
            <c:bubble3D val="0"/>
            <c:spPr>
              <a:solidFill>
                <a:srgbClr val="DD7E6B"/>
              </a:solidFill>
            </c:spPr>
            <c:extLst>
              <c:ext xmlns:c16="http://schemas.microsoft.com/office/drawing/2014/chart" uri="{C3380CC4-5D6E-409C-BE32-E72D297353CC}">
                <c16:uniqueId val="{00000003-98EC-4D67-BF9B-3B54FF86A1A7}"/>
              </c:ext>
            </c:extLst>
          </c:dPt>
          <c:dPt>
            <c:idx val="2"/>
            <c:bubble3D val="0"/>
            <c:spPr>
              <a:solidFill>
                <a:srgbClr val="990000"/>
              </a:solidFill>
            </c:spPr>
            <c:extLst>
              <c:ext xmlns:c16="http://schemas.microsoft.com/office/drawing/2014/chart" uri="{C3380CC4-5D6E-409C-BE32-E72D297353CC}">
                <c16:uniqueId val="{00000005-98EC-4D67-BF9B-3B54FF86A1A7}"/>
              </c:ext>
            </c:extLst>
          </c:dPt>
          <c:dPt>
            <c:idx val="3"/>
            <c:bubble3D val="0"/>
            <c:spPr>
              <a:solidFill>
                <a:srgbClr val="B4A7D6"/>
              </a:solidFill>
            </c:spPr>
            <c:extLst>
              <c:ext xmlns:c16="http://schemas.microsoft.com/office/drawing/2014/chart" uri="{C3380CC4-5D6E-409C-BE32-E72D297353CC}">
                <c16:uniqueId val="{00000007-98EC-4D67-BF9B-3B54FF86A1A7}"/>
              </c:ext>
            </c:extLst>
          </c:dPt>
          <c:dPt>
            <c:idx val="4"/>
            <c:bubble3D val="0"/>
            <c:spPr>
              <a:solidFill>
                <a:srgbClr val="E69138"/>
              </a:solidFill>
            </c:spPr>
            <c:extLst>
              <c:ext xmlns:c16="http://schemas.microsoft.com/office/drawing/2014/chart" uri="{C3380CC4-5D6E-409C-BE32-E72D297353CC}">
                <c16:uniqueId val="{00000009-98EC-4D67-BF9B-3B54FF86A1A7}"/>
              </c:ext>
            </c:extLst>
          </c:dPt>
          <c:cat>
            <c:strRef>
              <c:f>'Thống kê nguồn'!$A$2:$A$6</c:f>
              <c:strCache>
                <c:ptCount val="5"/>
                <c:pt idx="0">
                  <c:v>báo chí</c:v>
                </c:pt>
                <c:pt idx="1">
                  <c:v>cơ quan nhà nước </c:v>
                </c:pt>
                <c:pt idx="2">
                  <c:v>video hiện trường</c:v>
                </c:pt>
                <c:pt idx="3">
                  <c:v>báo chí và cơ quan nhà nước</c:v>
                </c:pt>
                <c:pt idx="4">
                  <c:v>video hiện trường và báo chí</c:v>
                </c:pt>
              </c:strCache>
            </c:strRef>
          </c:cat>
          <c:val>
            <c:numRef>
              <c:f>'Thống kê nguồn'!$B$2:$B$6</c:f>
              <c:numCache>
                <c:formatCode>General</c:formatCode>
                <c:ptCount val="5"/>
                <c:pt idx="0">
                  <c:v>125</c:v>
                </c:pt>
                <c:pt idx="1">
                  <c:v>14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EC-4D67-BF9B-3B54FF86A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1</xdr:row>
      <xdr:rowOff>123825</xdr:rowOff>
    </xdr:from>
    <xdr:ext cx="8677275" cy="5372100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49">
  <tableColumns count="16">
    <tableColumn id="1" xr3:uid="{00000000-0010-0000-0000-000001000000}" name="STT"/>
    <tableColumn id="2" xr3:uid="{00000000-0010-0000-0000-000002000000}" name="District"/>
    <tableColumn id="3" xr3:uid="{00000000-0010-0000-0000-000003000000}" name="Road Name" dataDxfId="32"/>
    <tableColumn id="4" xr3:uid="{00000000-0010-0000-0000-000004000000}" name="Date" dataDxfId="31"/>
    <tableColumn id="5" xr3:uid="{00000000-0010-0000-0000-000005000000}" name="Latitude"/>
    <tableColumn id="6" xr3:uid="{00000000-0010-0000-0000-000006000000}" name="Longtitude" dataDxfId="2"/>
    <tableColumn id="7" xr3:uid="{00000000-0010-0000-0000-000007000000}" name="Elevation (m)" dataDxfId="0"/>
    <tableColumn id="8" xr3:uid="{00000000-0010-0000-0000-000008000000}" name="Rain_start" dataDxfId="1"/>
    <tableColumn id="9" xr3:uid="{00000000-0010-0000-0000-000009000000}" name="Rain_end" dataDxfId="30"/>
    <tableColumn id="10" xr3:uid="{00000000-0010-0000-0000-00000A000000}" name="Rain_duration (hours)" dataDxfId="29"/>
    <tableColumn id="11" xr3:uid="{00000000-0010-0000-0000-00000B000000}" name="Factors" dataDxfId="28"/>
    <tableColumn id="12" xr3:uid="{00000000-0010-0000-0000-00000C000000}" name="Max_depth (cm)" dataDxfId="27"/>
    <tableColumn id="13" xr3:uid="{00000000-0010-0000-0000-00000D000000}" name="Rain_fall (mm)" dataDxfId="26"/>
    <tableColumn id="14" xr3:uid="{00000000-0010-0000-0000-00000E000000}" name="Impacts" dataDxfId="25"/>
    <tableColumn id="16" xr3:uid="{00000000-0010-0000-0000-000010000000}" name="Sources" dataDxfId="24"/>
    <tableColumn id="15" xr3:uid="{694E47B5-8A58-4D8A-93D8-45F15064EC85}" name="Column1" dataCellStyle="Normal"/>
  </tableColumns>
  <tableStyleInfo name="DATABA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50:Q224" headerRowCount="0">
  <tableColumns count="17">
    <tableColumn id="1" xr3:uid="{00000000-0010-0000-0100-000001000000}" name="Column1"/>
    <tableColumn id="2" xr3:uid="{00000000-0010-0000-0100-000002000000}" name="Column2"/>
    <tableColumn id="3" xr3:uid="{00000000-0010-0000-0100-000003000000}" name="Column3" dataDxfId="23"/>
    <tableColumn id="4" xr3:uid="{00000000-0010-0000-0100-000004000000}" name="Column4" dataDxfId="22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 dataDxfId="21"/>
    <tableColumn id="10" xr3:uid="{00000000-0010-0000-0100-00000A000000}" name="Column10" dataDxfId="20"/>
    <tableColumn id="11" xr3:uid="{00000000-0010-0000-0100-00000B000000}" name="Column11" dataDxfId="19"/>
    <tableColumn id="12" xr3:uid="{00000000-0010-0000-0100-00000C000000}" name="Column12" dataDxfId="18"/>
    <tableColumn id="13" xr3:uid="{00000000-0010-0000-0100-00000D000000}" name="Column13" dataDxfId="17"/>
    <tableColumn id="14" xr3:uid="{00000000-0010-0000-0100-00000E000000}" name="Column14"/>
    <tableColumn id="15" xr3:uid="{00000000-0010-0000-0100-00000F000000}" name="Column15"/>
    <tableColumn id="16" xr3:uid="{00000000-0010-0000-0100-000010000000}" name="Column16" dataDxfId="16" dataCellStyle="Normal"/>
    <tableColumn id="17" xr3:uid="{00000000-0010-0000-0100-000011000000}" name="Column17" dataDxfId="15"/>
  </tableColumns>
  <tableStyleInfo name="DATA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26:P352" headerRowCount="0">
  <tableColumns count="15">
    <tableColumn id="1" xr3:uid="{00000000-0010-0000-0200-000001000000}" name="Column1"/>
    <tableColumn id="2" xr3:uid="{00000000-0010-0000-0200-000002000000}" name="Column2" dataDxfId="14"/>
    <tableColumn id="3" xr3:uid="{00000000-0010-0000-0200-000003000000}" name="Column3" dataDxfId="13"/>
    <tableColumn id="4" xr3:uid="{00000000-0010-0000-0200-000004000000}" name="Column4"/>
    <tableColumn id="5" xr3:uid="{00000000-0010-0000-0200-000005000000}" name="Column5"/>
    <tableColumn id="6" xr3:uid="{00000000-0010-0000-0200-000006000000}" name="Column6" dataDxfId="12"/>
    <tableColumn id="7" xr3:uid="{00000000-0010-0000-0200-000007000000}" name="Column7" dataDxfId="11"/>
    <tableColumn id="8" xr3:uid="{00000000-0010-0000-0200-000008000000}" name="Column8" dataDxfId="10"/>
    <tableColumn id="9" xr3:uid="{00000000-0010-0000-0200-000009000000}" name="Column9" dataDxfId="9"/>
    <tableColumn id="10" xr3:uid="{00000000-0010-0000-0200-00000A000000}" name="Column10" dataDxfId="8"/>
    <tableColumn id="11" xr3:uid="{00000000-0010-0000-0200-00000B000000}" name="Column11" dataDxfId="7"/>
    <tableColumn id="12" xr3:uid="{00000000-0010-0000-0200-00000C000000}" name="Column12" dataDxfId="6"/>
    <tableColumn id="13" xr3:uid="{00000000-0010-0000-0200-00000D000000}" name="Column13" dataDxfId="5"/>
    <tableColumn id="14" xr3:uid="{00000000-0010-0000-0200-00000E000000}" name="Column14" dataDxfId="4"/>
    <tableColumn id="15" xr3:uid="{00000000-0010-0000-0200-00000F000000}" name="Column15" dataCellStyle="Normal"/>
  </tableColumns>
  <tableStyleInfo name="DATABAS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1:N107">
  <tableColumns count="2">
    <tableColumn id="1" xr3:uid="{00000000-0010-0000-0300-000001000000}" name="Nguồn (source/Link)"/>
    <tableColumn id="2" xr3:uid="{00000000-0010-0000-0300-000002000000}" name="Ghi chú "/>
  </tableColumns>
  <tableStyleInfo name="Thống kê nguồ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M108:N143" headerRowCount="0">
  <tableColumns count="2">
    <tableColumn id="1" xr3:uid="{00000000-0010-0000-0400-000001000000}" name="Column1"/>
    <tableColumn id="2" xr3:uid="{00000000-0010-0000-0400-000002000000}" name="Column2"/>
  </tableColumns>
  <tableStyleInfo name="Thống kê nguồ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145:N150" headerRowCount="0">
  <tableColumns count="2">
    <tableColumn id="1" xr3:uid="{00000000-0010-0000-0500-000001000000}" name="Column1"/>
    <tableColumn id="2" xr3:uid="{00000000-0010-0000-0500-000002000000}" name="Column2"/>
  </tableColumns>
  <tableStyleInfo name="Thống kê nguồ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uoitre.vn/mua-xuyen-dem-duong-pho-ha-noi-bat-dau-ngap-sau-20251007062802573.htm" TargetMode="External"/><Relationship Id="rId21" Type="http://schemas.openxmlformats.org/officeDocument/2006/relationships/hyperlink" Target="https://baomoi.com/nhieu-tuyen-pho-ha-noi-lai-ngap-sau-do-mua-lon-keo-dai-c47058895.epi" TargetMode="External"/><Relationship Id="rId63" Type="http://schemas.openxmlformats.org/officeDocument/2006/relationships/hyperlink" Target="https://cafef.vn/ngap-nang-dan-chung-cu-duoc-xe-cau-xe-xuc-chuyen-ra-khoi-nha-20160525082011102.chn" TargetMode="External"/><Relationship Id="rId159" Type="http://schemas.openxmlformats.org/officeDocument/2006/relationships/hyperlink" Target="https://tienphong.vn/cap-nhat-54-diem-ngap-sau-o-ha-noi-nguoi-dan-di-chuyen-bang-thuyen-o-my-dinh-post1784727.tpo" TargetMode="External"/><Relationship Id="rId170" Type="http://schemas.openxmlformats.org/officeDocument/2006/relationships/hyperlink" Target="https://nld.com.vn/thoi-su/ha-noi-ngap-sau-sinh-hoat-cua-nguoi-dan-dao-lon-sau-con-mua-lon-20190430115801874.htm" TargetMode="External"/><Relationship Id="rId226" Type="http://schemas.openxmlformats.org/officeDocument/2006/relationships/hyperlink" Target="https://tuoitre.vn/video/truc-tiep-nhieu-tuyen-duong-o-ha-noi-ngap-sau-con-mua-sang-ngay-5-6-162252.htm" TargetMode="External"/><Relationship Id="rId268" Type="http://schemas.openxmlformats.org/officeDocument/2006/relationships/hyperlink" Target="https://news.tuoitre.vn/downtown-streets-drowned-by-drawn-out-downpour-in-hanoi-10379837.htm" TargetMode="External"/><Relationship Id="rId32" Type="http://schemas.openxmlformats.org/officeDocument/2006/relationships/hyperlink" Target="https://vietnamnet.vn/nhieu-tuyen-pho-ha-noi-ngap-sau-sau-tran-mua-lon-sang-16-9-2322503.html" TargetMode="External"/><Relationship Id="rId74" Type="http://schemas.openxmlformats.org/officeDocument/2006/relationships/hyperlink" Target="https://thanhnien.vn/sau-tran-mua-lon-ha-noi-co-gan-40-diem-ung-ngap-185240916104952486.htm" TargetMode="External"/><Relationship Id="rId128" Type="http://schemas.openxmlformats.org/officeDocument/2006/relationships/hyperlink" Target="https://www.luagaoviet.com/ban-tin-tren-mang/nuoc-lu-song-hong-len-gan-toi-mat-cau-chuong-duong-nguy-co-ngap-lut-o-ha-noi" TargetMode="External"/><Relationship Id="rId5" Type="http://schemas.openxmlformats.org/officeDocument/2006/relationships/hyperlink" Target="https://hanoimoi.vn/mua-lon-gay-ung-ngap-cuc-bo-tren-nhieu-duong-pho-ha-noi-506767.html" TargetMode="External"/><Relationship Id="rId95" Type="http://schemas.openxmlformats.org/officeDocument/2006/relationships/hyperlink" Target="https://vnexpress.net/nhieu-tuyen-pho-ha-noi-ngap-sau-sau-mua-lon-4636178.html" TargetMode="External"/><Relationship Id="rId160" Type="http://schemas.openxmlformats.org/officeDocument/2006/relationships/hyperlink" Target="https://kinhtedothi.vn/ha-noi-giao-thong-nhieu-noi-dinh-tre-do-tran-mua-lon-chieu-29-5.html" TargetMode="External"/><Relationship Id="rId181" Type="http://schemas.openxmlformats.org/officeDocument/2006/relationships/hyperlink" Target="https://bnews.vn/nhieu-tuyen-pho-ha-noi-lai-ngap-sau-do-mua-lon-keo-dai/307968.html" TargetMode="External"/><Relationship Id="rId216" Type="http://schemas.openxmlformats.org/officeDocument/2006/relationships/hyperlink" Target="https://tuoitrethudo.vn/nuoc-song-dang-cao-ha-dong-bi-ngap-ung-nhieu-diem-259501.html" TargetMode="External"/><Relationship Id="rId237" Type="http://schemas.openxmlformats.org/officeDocument/2006/relationships/hyperlink" Target="http://vnexpress.net/ha-noi-mua-lon-nhieu-tuyen-pho-nguy-co-ngap-4948058-tong-thuat.html" TargetMode="External"/><Relationship Id="rId258" Type="http://schemas.openxmlformats.org/officeDocument/2006/relationships/hyperlink" Target="https://e.vnexpress.net/photo/environment/heavy-rain-floods-hanois-old-quarter-disrupting-businesses-4781274.html" TargetMode="External"/><Relationship Id="rId22" Type="http://schemas.openxmlformats.org/officeDocument/2006/relationships/hyperlink" Target="https://thanhnien.vn/ha-noi-mua-cuc-to-duong-pho-chim-trong-bien-nuoc-xe-chet-may-la-liet-185230928102251253.htm" TargetMode="External"/><Relationship Id="rId43" Type="http://schemas.openxmlformats.org/officeDocument/2006/relationships/hyperlink" Target="https://kinhtedothi.vn/ha-noi-mua-to-xoi-xa-nhieu-tuyen-duong-ngap-sau.html" TargetMode="External"/><Relationship Id="rId64" Type="http://schemas.openxmlformats.org/officeDocument/2006/relationships/hyperlink" Target="https://kinhtedothi.vn/sau-tran-mua-lon-ha-noi-ngap-sau-tai-mot-so-khu-vuc-noi-thanh-394015" TargetMode="External"/><Relationship Id="rId118" Type="http://schemas.openxmlformats.org/officeDocument/2006/relationships/hyperlink" Target="https://vnexpress.net/ha-noi-mua-lon-nhieu-tuyen-pho-nguy-co-ngap-4948058-tong-thuat.html" TargetMode="External"/><Relationship Id="rId139" Type="http://schemas.openxmlformats.org/officeDocument/2006/relationships/hyperlink" Target="https://laodong.vn/xa-hoi/ha-noi-mua-ngap-nhieu-tuyen-duong-cong-nhan-dam-minh-xu-ly-thoat-nuoc-1080018.ldo" TargetMode="External"/><Relationship Id="rId85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150" Type="http://schemas.openxmlformats.org/officeDocument/2006/relationships/hyperlink" Target="https://kinhtedothi.vn/quan-nam-tu-liem-nhieu-diem-ngap-san-sang-phuong-an-so-tan-dan" TargetMode="External"/><Relationship Id="rId171" Type="http://schemas.openxmlformats.org/officeDocument/2006/relationships/hyperlink" Target="https://www.vietnamplus.vn/mua-to-bat-ngo-sang-304-lam-ngap-mot-so-tuyen-pho-o-ha-noi-post566732.vnp" TargetMode="External"/><Relationship Id="rId192" Type="http://schemas.openxmlformats.org/officeDocument/2006/relationships/hyperlink" Target="https://kinhtedothi.vn/ha-noi-mua-to-xoi-xa-nhieu-tuyen-duong-ngap-sau.html" TargetMode="External"/><Relationship Id="rId206" Type="http://schemas.openxmlformats.org/officeDocument/2006/relationships/hyperlink" Target="https://tuoitre.vn/duong-pho-ha-noi-ngap-lenh-lang-sau-con-mua-lon-dan-phai-loi-ca-tren-via-he-20230731162830663.htm" TargetMode="External"/><Relationship Id="rId227" Type="http://schemas.openxmlformats.org/officeDocument/2006/relationships/hyperlink" Target="https://tuoitre.vn/video/truc-tiep-nhieu-tuyen-duong-o-ha-noi-ngap-sau-con-mua-sang-ngay-5-6-162252.htm" TargetMode="External"/><Relationship Id="rId248" Type="http://schemas.openxmlformats.org/officeDocument/2006/relationships/hyperlink" Target="https://www.tiktok.com/@cleopatra_hn/video/7555832900617260309" TargetMode="External"/><Relationship Id="rId269" Type="http://schemas.openxmlformats.org/officeDocument/2006/relationships/hyperlink" Target="https://www.qdnd.vn/xa-hoi/tin-tuc/mua-lon-gay-nguy-co-ngap-lut-o-nhieu-noi-tai-ha-noi-744666" TargetMode="External"/><Relationship Id="rId12" Type="http://schemas.openxmlformats.org/officeDocument/2006/relationships/hyperlink" Target="https://tuoitre.vn/ha-noi-mua-lon-moi-sang-som-nhieu-tuyen-pho-thanh-song-20220812064514956.htm" TargetMode="External"/><Relationship Id="rId33" Type="http://schemas.openxmlformats.org/officeDocument/2006/relationships/hyperlink" Target="https://dantri.com.vn/thoi-su/mua-nhu-trut-nuoc-nhan-chim-nhieu-tuyen-duong-o-ha-noi-20240823005957568.htm" TargetMode="External"/><Relationship Id="rId108" Type="http://schemas.openxmlformats.org/officeDocument/2006/relationships/hyperlink" Target="https://www.vietnamplus.vn/ha-noi-ngap-sau-tai-nhieu-tuyen-duong-va-khu-do-thi-do-anh-huong-bao-so-2-post966455.vnp" TargetMode="External"/><Relationship Id="rId129" Type="http://schemas.openxmlformats.org/officeDocument/2006/relationships/hyperlink" Target="https://www.luagaoviet.com/ban-tin-tren-mang/nuoc-lu-song-hong-len-gan-toi-mat-cau-chuong-duong-nguy-co-ngap-lut-o-ha-noi" TargetMode="External"/><Relationship Id="rId54" Type="http://schemas.openxmlformats.org/officeDocument/2006/relationships/hyperlink" Target="https://bnews.vn/mua-lon-gay-ngap-90-diem-tren-dia-ban-ha-noi-nhieu-tuyen-duong-te-liet-giao-thong/390501.html" TargetMode="External"/><Relationship Id="rId75" Type="http://schemas.openxmlformats.org/officeDocument/2006/relationships/hyperlink" Target="https://vnexpress.net/hon-40-diem-ngap-tai-ha-noi-sau-mua-lon-4793231.html" TargetMode="External"/><Relationship Id="rId96" Type="http://schemas.openxmlformats.org/officeDocument/2006/relationships/hyperlink" Target="https://vnexpress.net/nhieu-tuyen-pho-ha-noi-ngap-sau-sau-mua-lon-4636178.html" TargetMode="External"/><Relationship Id="rId140" Type="http://schemas.openxmlformats.org/officeDocument/2006/relationships/hyperlink" Target="https://laodong.vn/xa-hoi/ha-noi-mua-ngap-nhieu-tuyen-duong-cong-nhan-dam-minh-xu-ly-thoat-nuoc-1080018.ldo" TargetMode="External"/><Relationship Id="rId161" Type="http://schemas.openxmlformats.org/officeDocument/2006/relationships/hyperlink" Target="https://kinhtedothi.vn/ha-noi-giao-thong-nhieu-noi-dinh-tre-do-tran-mua-lon-chieu-29-5.html" TargetMode="External"/><Relationship Id="rId182" Type="http://schemas.openxmlformats.org/officeDocument/2006/relationships/hyperlink" Target="https://bnews.vn/nhieu-tuyen-pho-ha-noi-lai-ngap-sau-do-mua-lon-keo-dai/307968.html" TargetMode="External"/><Relationship Id="rId217" Type="http://schemas.openxmlformats.org/officeDocument/2006/relationships/hyperlink" Target="https://tuoitrethudo.vn/nuoc-song-dang-cao-ha-dong-bi-ngap-ung-nhieu-diem-259501.html" TargetMode="External"/><Relationship Id="rId6" Type="http://schemas.openxmlformats.org/officeDocument/2006/relationships/hyperlink" Target="https://vtv.vn/xa-hoi/mua-lon-chieu-17-8-gay-ngap-cuc-bo-nhieu-tuyen-pho-ha-noi-20200817181932196.htm" TargetMode="External"/><Relationship Id="rId238" Type="http://schemas.openxmlformats.org/officeDocument/2006/relationships/hyperlink" Target="http://vnexpress.net/ha-noi-mua-lon-nhieu-tuyen-pho-nguy-co-ngap-4948058-tong-thuat.html" TargetMode="External"/><Relationship Id="rId259" Type="http://schemas.openxmlformats.org/officeDocument/2006/relationships/hyperlink" Target="http://vov.vn/tin-24h/ly-giai-nguyen-nhan-khien-khu-vuc-ho-guom-ngap-thanh-bien-nuoc-1084798.vov" TargetMode="External"/><Relationship Id="rId23" Type="http://schemas.openxmlformats.org/officeDocument/2006/relationships/hyperlink" Target="https://www.qdnd.vn/xa-hoi/tin-tuc/mua-lon-gay-nguy-co-ngap-lut-o-nhieu-noi-tai-ha-noi-744666" TargetMode="External"/><Relationship Id="rId119" Type="http://schemas.openxmlformats.org/officeDocument/2006/relationships/hyperlink" Target="https://vov.vn/kinh-te/mua-hon-200mm-gay-ung-ngap-cuc-bo-nhieu-noi-tai-ha-noi-post1182035.vov" TargetMode="External"/><Relationship Id="rId270" Type="http://schemas.openxmlformats.org/officeDocument/2006/relationships/hyperlink" Target="https://nhandan.vn/mua-to-gay-ngap-ung-cuc-bo-mot-so-tuyen-pho-ha-noi-post824121.html" TargetMode="External"/><Relationship Id="rId44" Type="http://schemas.openxmlformats.org/officeDocument/2006/relationships/hyperlink" Target="https://htv.com.vn/ha-noi-pho-trieu-khuc-ung-ngap-nguoi-dan-vat-va-muu-sinh-222251002101351473.htm" TargetMode="External"/><Relationship Id="rId65" Type="http://schemas.openxmlformats.org/officeDocument/2006/relationships/hyperlink" Target="https://vnexpress.net/ha-noi-mua-lon-nuoc-ngap-lut-banh-xe-4469404.html" TargetMode="External"/><Relationship Id="rId86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130" Type="http://schemas.openxmlformats.org/officeDocument/2006/relationships/hyperlink" Target="https://www.luagaoviet.com/ban-tin-tren-mang/nuoc-lu-song-hong-len-gan-toi-mat-cau-chuong-duong-nguy-co-ngap-lut-o-ha-noi" TargetMode="External"/><Relationship Id="rId151" Type="http://schemas.openxmlformats.org/officeDocument/2006/relationships/hyperlink" Target="https://kinhtedothi.vn/quan-nam-tu-liem-nhieu-diem-ngap-san-sang-phuong-an-so-tan-dan" TargetMode="External"/><Relationship Id="rId172" Type="http://schemas.openxmlformats.org/officeDocument/2006/relationships/hyperlink" Target="https://www.vietnamplus.vn/mua-to-bat-ngo-sang-304-lam-ngap-mot-so-tuyen-pho-o-ha-noi-post566732.vnp" TargetMode="External"/><Relationship Id="rId193" Type="http://schemas.openxmlformats.org/officeDocument/2006/relationships/hyperlink" Target="https://baotintuc.vn/van-de-quan-tam/mua-to-canh-bao-ngap-ung-tren-nhieu-tuyen-pho-noi-thanh-ha-noi-20240823220834809.htm" TargetMode="External"/><Relationship Id="rId207" Type="http://schemas.openxmlformats.org/officeDocument/2006/relationships/hyperlink" Target="https://tuoitre.vn/duong-pho-ha-noi-ngap-lenh-lang-sau-con-mua-lon-dan-phai-loi-ca-tren-via-he-20230731162830663.htm" TargetMode="External"/><Relationship Id="rId228" Type="http://schemas.openxmlformats.org/officeDocument/2006/relationships/hyperlink" Target="https://laodong.vn/moi-truong/ha-noi-mua-rat-to-du-bao-nhung-tuyen-duong-nao-ngap-sau-1370429.ldo" TargetMode="External"/><Relationship Id="rId249" Type="http://schemas.openxmlformats.org/officeDocument/2006/relationships/hyperlink" Target="https://tienphong.vn/nguoi-ha-noi-boi-tren-cau-vinh-tuy-trong-con-mua-gio-tan-tam-post1637476.tpo" TargetMode="External"/><Relationship Id="rId13" Type="http://schemas.openxmlformats.org/officeDocument/2006/relationships/hyperlink" Target="https://tuoitre.vn/dan-ha-noi-di-xuong-o-quan-hoan-kiem-khi-muc-nuoc-song-hong-vuot-bao-dong-2-20240911074140718.htm" TargetMode="External"/><Relationship Id="rId109" Type="http://schemas.openxmlformats.org/officeDocument/2006/relationships/hyperlink" Target="https://www.vietnamplus.vn/ha-noi-ngap-sau-tai-nhieu-tuyen-duong-va-khu-do-thi-do-anh-huong-bao-so-2-post966455.vnp" TargetMode="External"/><Relationship Id="rId260" Type="http://schemas.openxmlformats.org/officeDocument/2006/relationships/hyperlink" Target="https://kinhtedothi.vn/ha-noi-mua-to-xoi-xa-nhieu-tuyen-duong-ngap-sau.html" TargetMode="External"/><Relationship Id="rId34" Type="http://schemas.openxmlformats.org/officeDocument/2006/relationships/hyperlink" Target="https://dantri.com.vn/thoi-su/mua-nhu-trut-nuoc-nhan-chim-nhieu-tuyen-duong-o-ha-noi-20240823005957568.htm" TargetMode="External"/><Relationship Id="rId55" Type="http://schemas.openxmlformats.org/officeDocument/2006/relationships/hyperlink" Target="https://vietnamnet.vn/nhieu-tuyen-pho-ha-noi-ngap-sau-sau-tran-mua-lon-sang-16-9-2322503.html" TargetMode="External"/><Relationship Id="rId76" Type="http://schemas.openxmlformats.org/officeDocument/2006/relationships/hyperlink" Target="https://dantri.com.vn/thoi-su/lu-hon-20-nam-moi-gap-hang-tram-ho-dan-o-tu-lien-o-at-di-tan-20240911162309799.htm" TargetMode="External"/><Relationship Id="rId97" Type="http://schemas.openxmlformats.org/officeDocument/2006/relationships/hyperlink" Target="https://chinhsachcuocsong.vnanet.vn/mua-lon-gay-ngap-ung-mot-so-tuyen-duong-tai-ha-noi/25283.html" TargetMode="External"/><Relationship Id="rId120" Type="http://schemas.openxmlformats.org/officeDocument/2006/relationships/hyperlink" Target="https://vov.vn/kinh-te/mua-hon-200mm-gay-ung-ngap-cuc-bo-nhieu-noi-tai-ha-noi-post1182035.vov" TargetMode="External"/><Relationship Id="rId141" Type="http://schemas.openxmlformats.org/officeDocument/2006/relationships/hyperlink" Target="https://tuoitre.vn/sang-dau-tuan-mua-lon-ha-noi-co-gan-40-diem-ngap-ung-20240916073641293.htm" TargetMode="External"/><Relationship Id="rId7" Type="http://schemas.openxmlformats.org/officeDocument/2006/relationships/hyperlink" Target="https://dantri.com.vn/thoi-su/ha-noi-pho-co-ngap-sau-cay-do-de-taxi-o-to-boi-o-keangnam-20220529162210671.htm" TargetMode="External"/><Relationship Id="rId162" Type="http://schemas.openxmlformats.org/officeDocument/2006/relationships/hyperlink" Target="https://baotintuc.vn/van-de-quan-tam/mua-to-canh-bao-ngap-ung-tren-nhieu-tuyen-pho-noi-thanh-ha-noi-20240823220834809.htm" TargetMode="External"/><Relationship Id="rId183" Type="http://schemas.openxmlformats.org/officeDocument/2006/relationships/hyperlink" Target="https://bnews.vn/nhieu-tuyen-pho-ha-noi-lai-ngap-sau-do-mua-lon-keo-dai/307968.html" TargetMode="External"/><Relationship Id="rId218" Type="http://schemas.openxmlformats.org/officeDocument/2006/relationships/hyperlink" Target="https://nongnghiepmoitruong.vn/quan-ha-dong-ha-noi-nguoi-dan-va-benh-nhan-oan-minh-trong-mua-lu-i733863.html" TargetMode="External"/><Relationship Id="rId239" Type="http://schemas.openxmlformats.org/officeDocument/2006/relationships/hyperlink" Target="https://vnexpress.net/ha-noi-mua-giong-20-phut-mot-so-tuyen-pho-ngap-4950072.html" TargetMode="External"/><Relationship Id="rId250" Type="http://schemas.openxmlformats.org/officeDocument/2006/relationships/hyperlink" Target="https://kenh14.vn/duong-ha-noi-thanh-song-sau-30-phut-mua-lon-giao-thong-te-liet-215240729194825547.chn" TargetMode="External"/><Relationship Id="rId271" Type="http://schemas.openxmlformats.org/officeDocument/2006/relationships/hyperlink" Target="https://vietnamnet.vn/cap-nhat-82-diem-ung-ngap-khong-the-di-qua-tren-dia-ban-ha-noi-2447731.html" TargetMode="External"/><Relationship Id="rId24" Type="http://schemas.openxmlformats.org/officeDocument/2006/relationships/hyperlink" Target="https://kinhtedothi.vn/ha-noi-mua-to-xoi-xa-nhieu-tuyen-duong-ngap-sau.html" TargetMode="External"/><Relationship Id="rId45" Type="http://schemas.openxmlformats.org/officeDocument/2006/relationships/hyperlink" Target="https://baotintuc.vn/anh/nhieu-tuyen-duong-ha-noi-ngap-sau-do-anh-huong-mua-dong-cua-bao-so-2-20240724084929154.htm" TargetMode="External"/><Relationship Id="rId66" Type="http://schemas.openxmlformats.org/officeDocument/2006/relationships/hyperlink" Target="https://nhandan.vn/anh-mua-lon-suot-dem-nhieu-tuyen-duong-o-ha-noi-ngap-sau-post826312.html" TargetMode="External"/><Relationship Id="rId87" Type="http://schemas.openxmlformats.org/officeDocument/2006/relationships/hyperlink" Target="https://kenh14.vn/toan-canh-ha-noi-sau-tran-mua-lon-toi-13-6-duong-pho-ngap-lut-banh-xe-nguoi-dan-vat-va-loi-nuoc-ve-nha-luc-nua-dem-20220613232456984.chn" TargetMode="External"/><Relationship Id="rId110" Type="http://schemas.openxmlformats.org/officeDocument/2006/relationships/hyperlink" Target="https://news.laodong.vn/giao-thong/mua-phun-bao-phu-nhieu-tuyen-pho-ha-noi-un-tac-tu-sang-som-1602672.ldo" TargetMode="External"/><Relationship Id="rId131" Type="http://schemas.openxmlformats.org/officeDocument/2006/relationships/hyperlink" Target="https://www.luagaoviet.com/ban-tin-tren-mang/nuoc-lu-song-hong-len-gan-toi-mat-cau-chuong-duong-nguy-co-ngap-lut-o-ha-noi" TargetMode="External"/><Relationship Id="rId152" Type="http://schemas.openxmlformats.org/officeDocument/2006/relationships/hyperlink" Target="https://kinhtedothi.vn/quan-nam-tu-liem-nhieu-diem-ngap-san-sang-phuong-an-so-tan-dan" TargetMode="External"/><Relationship Id="rId173" Type="http://schemas.openxmlformats.org/officeDocument/2006/relationships/hyperlink" Target="https://laodong.vn/xa-hoi/ha-noi-loay-hoay-xu-ly-ngap-ung-trong-noi-do-828693.ldo" TargetMode="External"/><Relationship Id="rId194" Type="http://schemas.openxmlformats.org/officeDocument/2006/relationships/hyperlink" Target="https://baotintuc.vn/van-de-quan-tam/mua-to-canh-bao-ngap-ung-tren-nhieu-tuyen-pho-noi-thanh-ha-noi-20240823220834809.htm" TargetMode="External"/><Relationship Id="rId208" Type="http://schemas.openxmlformats.org/officeDocument/2006/relationships/hyperlink" Target="https://doisongphapluat.com.vn/nguoi-dan-ha-noi-bi-bom-loi-nuoc-sau-tran-mua-ngay-289-a593004.html" TargetMode="External"/><Relationship Id="rId229" Type="http://schemas.openxmlformats.org/officeDocument/2006/relationships/hyperlink" Target="https://baotintuc.vn/ha-noi/mua-xuyen-dem-duong-pho-ha-noi-menh-mong-bien-nuoc-20251007083440951.htm" TargetMode="External"/><Relationship Id="rId240" Type="http://schemas.openxmlformats.org/officeDocument/2006/relationships/hyperlink" Target="https://vov.vn/xa-hoi/mua-hon-200mm-gay-ung-ngap-cuc-bo-nhieu-noi-tai-ha-noi-post1048919.vov" TargetMode="External"/><Relationship Id="rId261" Type="http://schemas.openxmlformats.org/officeDocument/2006/relationships/hyperlink" Target="https://vtv.vn/xa-hoi/ha-noi-mua-lon-don-dap-gay-ngap-nhieu-tuyen-pho-20240513061014092.htm" TargetMode="External"/><Relationship Id="rId14" Type="http://schemas.openxmlformats.org/officeDocument/2006/relationships/hyperlink" Target="https://nhandan.vn/nuoc-song-hong-dang-cao-kem-mua-lon-ha-noi-co-nguy-co-ngap-ung-dien-rong-post829714.html" TargetMode="External"/><Relationship Id="rId35" Type="http://schemas.openxmlformats.org/officeDocument/2006/relationships/hyperlink" Target="https://dantri.com.vn/thoi-su/mua-nhu-trut-nuoc-nhan-chim-nhieu-tuyen-duong-o-ha-noi-20240823005957568.htm" TargetMode="External"/><Relationship Id="rId56" Type="http://schemas.openxmlformats.org/officeDocument/2006/relationships/hyperlink" Target="https://vietnamnet.vn/nhieu-tuyen-pho-ha-noi-ngap-sau-sau-tran-mua-lon-sang-16-9-2322503.html" TargetMode="External"/><Relationship Id="rId77" Type="http://schemas.openxmlformats.org/officeDocument/2006/relationships/hyperlink" Target="https://www.qdnd.vn/xa-hoi/tin-tuc/mua-xoi-xa-nhieu-tuyen-pho-ha-noi-lai-ngap-780305" TargetMode="External"/><Relationship Id="rId100" Type="http://schemas.openxmlformats.org/officeDocument/2006/relationships/hyperlink" Target="https://vov.vn/xa-hoi/mua-lon-dau-gio-sang-nhieu-khu-vuc-tai-ha-noi-ngap-ung-giao-thong-un-tac-post1048950.vov" TargetMode="External"/><Relationship Id="rId8" Type="http://schemas.openxmlformats.org/officeDocument/2006/relationships/hyperlink" Target="https://kinhtedothi.vn/ha-noi-giao-thong-nhieu-noi-dinh-tre-do-tran-mua-lon-chieu-29-5.html" TargetMode="External"/><Relationship Id="rId98" Type="http://schemas.openxmlformats.org/officeDocument/2006/relationships/hyperlink" Target="https://chinhsachcuocsong.vnanet.vn/mua-lon-gay-ngap-ung-mot-so-tuyen-duong-tai-ha-noi/25283.html" TargetMode="External"/><Relationship Id="rId121" Type="http://schemas.openxmlformats.org/officeDocument/2006/relationships/hyperlink" Target="https://vov.vn/kinh-te/mua-hon-200mm-gay-ung-ngap-cuc-bo-nhieu-noi-tai-ha-noi-post1182035.vov" TargetMode="External"/><Relationship Id="rId142" Type="http://schemas.openxmlformats.org/officeDocument/2006/relationships/hyperlink" Target="https://baotintuc.vn/anh/mua-lon-nua-dem-khien-ca-thu-do-ngap-trong-bien-nuoc-nguoi-dan-di-chuyen-chat-vat-20240822232209742.htm" TargetMode="External"/><Relationship Id="rId163" Type="http://schemas.openxmlformats.org/officeDocument/2006/relationships/hyperlink" Target="https://baotintuc.vn/van-de-quan-tam/mua-to-canh-bao-ngap-ung-tren-nhieu-tuyen-pho-noi-thanh-ha-noi-20240823220834809.htm" TargetMode="External"/><Relationship Id="rId184" Type="http://schemas.openxmlformats.org/officeDocument/2006/relationships/hyperlink" Target="https://bnews.vn/nhieu-tuyen-pho-ha-noi-lai-ngap-sau-do-mua-lon-keo-dai/307968.html" TargetMode="External"/><Relationship Id="rId219" Type="http://schemas.openxmlformats.org/officeDocument/2006/relationships/hyperlink" Target="https://vtcnews.vn/mua-lon-chieu-toi-nhieu-tuyen-pho-ha-noi-ngap-sau-ar870581.html" TargetMode="External"/><Relationship Id="rId230" Type="http://schemas.openxmlformats.org/officeDocument/2006/relationships/hyperlink" Target="https://www.youtube.com/watch?v=kl-W3gyMm_U" TargetMode="External"/><Relationship Id="rId251" Type="http://schemas.openxmlformats.org/officeDocument/2006/relationships/hyperlink" Target="https://vtv.vn/xa-hoi/mua-lon-ca-dem-nhieu-khu-vuc-noi-thanh-ha-noi-ngap-sau-20240823055848968.htm" TargetMode="External"/><Relationship Id="rId25" Type="http://schemas.openxmlformats.org/officeDocument/2006/relationships/hyperlink" Target="https://htv.com.vn/ha-noi-pho-trieu-khuc-ung-ngap-nguoi-dan-vat-va-muu-sinh-222251002101351473.htm" TargetMode="External"/><Relationship Id="rId46" Type="http://schemas.openxmlformats.org/officeDocument/2006/relationships/hyperlink" Target="https://dantocphattrien.vietnamnet.vn/anh-huong-con-bao-so-2-nhieu-tuyen-pho-ha-noi-ngap-sau-1721739293263.htm" TargetMode="External"/><Relationship Id="rId67" Type="http://schemas.openxmlformats.org/officeDocument/2006/relationships/hyperlink" Target="https://baotintuc.vn/xa-hoi/ha-noi-mua-lon-ngap-ung-nhieu-noi-cay-gay-do-tiem-an-nguy-hiem-20240908062214470.htm" TargetMode="External"/><Relationship Id="rId272" Type="http://schemas.openxmlformats.org/officeDocument/2006/relationships/hyperlink" Target="https://vietnamnet.vn/ha-noi-vua-mua-to-khap-nga-duong-ngap-sau-cay-do-chan-pho-553240.html" TargetMode="External"/><Relationship Id="rId88" Type="http://schemas.openxmlformats.org/officeDocument/2006/relationships/hyperlink" Target="https://kenh14.vn/toan-canh-ha-noi-sau-tran-mua-lon-toi-13-6-duong-pho-ngap-lut-banh-xe-nguoi-dan-vat-va-loi-nuoc-ve-nha-luc-nua-dem-20220613232456984.chn" TargetMode="External"/><Relationship Id="rId111" Type="http://schemas.openxmlformats.org/officeDocument/2006/relationships/hyperlink" Target="https://news.laodong.vn/giao-thong/mua-phun-bao-phu-nhieu-tuyen-pho-ha-noi-un-tac-tu-sang-som-1602672.ldo" TargetMode="External"/><Relationship Id="rId132" Type="http://schemas.openxmlformats.org/officeDocument/2006/relationships/hyperlink" Target="https://www.luagaoviet.com/ban-tin-tren-mang/nuoc-lu-song-hong-len-gan-toi-mat-cau-chuong-duong-nguy-co-ngap-lut-o-ha-noi" TargetMode="External"/><Relationship Id="rId153" Type="http://schemas.openxmlformats.org/officeDocument/2006/relationships/hyperlink" Target="https://danviet.vn/nguoi-dan-khon-kho-song-gan-tuyen-duong-mua-thanh-ao-nang-bui-bay-mu-mit-o-quan-nam-tu-liem-ha-noi-20240806111932319-d1177051.html" TargetMode="External"/><Relationship Id="rId174" Type="http://schemas.openxmlformats.org/officeDocument/2006/relationships/hyperlink" Target="https://laodong.vn/xa-hoi/ha-noi-loay-hoay-xu-ly-ngap-ung-trong-noi-do-828693.ldo" TargetMode="External"/><Relationship Id="rId195" Type="http://schemas.openxmlformats.org/officeDocument/2006/relationships/hyperlink" Target="https://baotintuc.vn/van-de-quan-tam/mua-to-canh-bao-ngap-ung-tren-nhieu-tuyen-pho-noi-thanh-ha-noi-20240823220834809.htm" TargetMode="External"/><Relationship Id="rId209" Type="http://schemas.openxmlformats.org/officeDocument/2006/relationships/hyperlink" Target="https://doisongphapluat.com.vn/nguoi-dan-ha-noi-bi-bom-loi-nuoc-sau-tran-mua-ngay-289-a593004.html" TargetMode="External"/><Relationship Id="rId220" Type="http://schemas.openxmlformats.org/officeDocument/2006/relationships/hyperlink" Target="https://kinhtedothi.vn/ha-noi-mua-to-xoi-xa-nhieu-tuyen-duong-ngap-sau.html" TargetMode="External"/><Relationship Id="rId241" Type="http://schemas.openxmlformats.org/officeDocument/2006/relationships/hyperlink" Target="https://tuoitre.vn/duong-pho-ha-noi-ngap-sau-vi-mua-to-troi-toi-mit-nhu-ban-dem-20230928094018744.htm" TargetMode="External"/><Relationship Id="rId15" Type="http://schemas.openxmlformats.org/officeDocument/2006/relationships/hyperlink" Target="https://www.qdnd.vn/xa-hoi/tin-tuc/mua-xoi-xa-nhieu-tuyen-pho-ha-noi-lai-ngap-780305" TargetMode="External"/><Relationship Id="rId36" Type="http://schemas.openxmlformats.org/officeDocument/2006/relationships/hyperlink" Target="https://dantri.com.vn/thoi-su/mua-nhu-trut-nuoc-nhan-chim-nhieu-tuyen-duong-o-ha-noi-20240823005957568.htm" TargetMode="External"/><Relationship Id="rId57" Type="http://schemas.openxmlformats.org/officeDocument/2006/relationships/hyperlink" Target="https://dantri.com.vn/thoi-su/mua-nhu-trut-nuoc-nhan-chim-nhieu-tuyen-duong-o-ha-noi-20240823005957568.htm" TargetMode="External"/><Relationship Id="rId262" Type="http://schemas.openxmlformats.org/officeDocument/2006/relationships/hyperlink" Target="https://tuoitrethudo.vn/nuoc-song-dang-cao-ha-dong-bi-ngap-ung-nhieu-diem-259501.html" TargetMode="External"/><Relationship Id="rId78" Type="http://schemas.openxmlformats.org/officeDocument/2006/relationships/hyperlink" Target="https://baotintuc.vn/anh/mua-lon-nua-dem-khien-ca-thu-do-ngap-trong-bien-nuoc-nguoi-dan-di-chuyen-chat-vat-20240822232209742.htm" TargetMode="External"/><Relationship Id="rId99" Type="http://schemas.openxmlformats.org/officeDocument/2006/relationships/hyperlink" Target="https://vnexpress.net/nguoi-ha-noi-boi-di-lam-ngay-mua-4658435.html" TargetMode="External"/><Relationship Id="rId101" Type="http://schemas.openxmlformats.org/officeDocument/2006/relationships/hyperlink" Target="https://www.vietnamplus.vn/ha-noi-ngap-sau-tai-nhieu-tuyen-duong-va-khu-do-thi-do-anh-huong-bao-so-2-post966455.vnp" TargetMode="External"/><Relationship Id="rId122" Type="http://schemas.openxmlformats.org/officeDocument/2006/relationships/hyperlink" Target="https://vov.vn/kinh-te/mua-hon-200mm-gay-ung-ngap-cuc-bo-nhieu-noi-tai-ha-noi-post1182035.vov" TargetMode="External"/><Relationship Id="rId143" Type="http://schemas.openxmlformats.org/officeDocument/2006/relationships/hyperlink" Target="https://nongnghiepmoitruong.vn/nhieu-tuyen-duong-o-ha-noi-ngap-sau-sau-tran-mua-lon-sang-1-5-d751024.html" TargetMode="External"/><Relationship Id="rId164" Type="http://schemas.openxmlformats.org/officeDocument/2006/relationships/hyperlink" Target="https://baotintuc.vn/van-de-quan-tam/mua-to-canh-bao-ngap-ung-tren-nhieu-tuyen-pho-noi-thanh-ha-noi-20240823220834809.htm" TargetMode="External"/><Relationship Id="rId185" Type="http://schemas.openxmlformats.org/officeDocument/2006/relationships/hyperlink" Target="https://bnews.vn/nhieu-tuyen-pho-ha-noi-lai-ngap-sau-do-mua-lon-keo-dai/307968.html" TargetMode="External"/><Relationship Id="rId9" Type="http://schemas.openxmlformats.org/officeDocument/2006/relationships/hyperlink" Target="https://kinhtedothi.vn/ha-noi-giao-thong-nhieu-noi-dinh-tre-do-tran-mua-lon-chieu-29-5.html" TargetMode="External"/><Relationship Id="rId210" Type="http://schemas.openxmlformats.org/officeDocument/2006/relationships/hyperlink" Target="https://vov.vn/xa-hoi/mua-lon-keo-dai-nguoi-ha-noi-lai-bi-bom-loi-nuoc-tren-duong-pho-post1109872.vov" TargetMode="External"/><Relationship Id="rId26" Type="http://schemas.openxmlformats.org/officeDocument/2006/relationships/hyperlink" Target="https://baotintuc.vn/anh/nhieu-tuyen-duong-ha-noi-ngap-sau-do-anh-huong-mua-dong-cua-bao-so-2-20240724084929154.htm" TargetMode="External"/><Relationship Id="rId231" Type="http://schemas.openxmlformats.org/officeDocument/2006/relationships/hyperlink" Target="https://thanglong.chinhphu.vn/ha-noi-122-diem-ngap-nuoc-trong-do-23-diem-ngap-sau-khong-luu-thong-duoc-103251007111035109.htm" TargetMode="External"/><Relationship Id="rId252" Type="http://schemas.openxmlformats.org/officeDocument/2006/relationships/hyperlink" Target="https://vietnamnet.vn/ngap-menh-mong-tu-ngo-ra-duong-sau-mua-lon-o-ha-noi-2022779.html" TargetMode="External"/><Relationship Id="rId273" Type="http://schemas.openxmlformats.org/officeDocument/2006/relationships/hyperlink" Target="https://vietnamnews.vn/society/1662801/ha-noi-struggles-to-cope-with-severe-flooding-triggered-by-heavy-rain.html" TargetMode="External"/><Relationship Id="rId47" Type="http://schemas.openxmlformats.org/officeDocument/2006/relationships/hyperlink" Target="https://baotintuc.vn/thoi-su/ha-noi-pho-bui-xuong-trach-ngap-menh-mong-nuoc-tran-vao-nha-dan-20240822232830947.htm" TargetMode="External"/><Relationship Id="rId68" Type="http://schemas.openxmlformats.org/officeDocument/2006/relationships/hyperlink" Target="https://vietnamnet.vn/ha-noi-mua-sam-sap-tu-sang-den-toi-van-ngap-lut-banh-xe-463082.html?utm_source=chatgpt.com" TargetMode="External"/><Relationship Id="rId89" Type="http://schemas.openxmlformats.org/officeDocument/2006/relationships/hyperlink" Target="https://hanoimoi.vn/ha-noi-mua-lon-gay-ung-ngap-nhieu-tuyen-pho-cay-bat-goc-de-trung-o-to-520866.html" TargetMode="External"/><Relationship Id="rId112" Type="http://schemas.openxmlformats.org/officeDocument/2006/relationships/hyperlink" Target="https://news.laodong.vn/giao-thong/mua-phun-bao-phu-nhieu-tuyen-pho-ha-noi-un-tac-tu-sang-som-1602672.ldo" TargetMode="External"/><Relationship Id="rId133" Type="http://schemas.openxmlformats.org/officeDocument/2006/relationships/hyperlink" Target="https://www.luagaoviet.com/ban-tin-tren-mang/nuoc-lu-song-hong-len-gan-toi-mat-cau-chuong-duong-nguy-co-ngap-lut-o-ha-noi" TargetMode="External"/><Relationship Id="rId154" Type="http://schemas.openxmlformats.org/officeDocument/2006/relationships/hyperlink" Target="https://vnexpress.net/hon-40-diem-ngap-tai-ha-noi-sau-mua-lon-4793231.html" TargetMode="External"/><Relationship Id="rId175" Type="http://schemas.openxmlformats.org/officeDocument/2006/relationships/hyperlink" Target="https://laodong.vn/xa-hoi/ha-noi-loay-hoay-xu-ly-ngap-ung-trong-noi-do-828693.ldo" TargetMode="External"/><Relationship Id="rId196" Type="http://schemas.openxmlformats.org/officeDocument/2006/relationships/hyperlink" Target="https://nhiepanhdoisong.vn/ha-noi-mua-lon-gay-ngap-ung-nhieu-tuyen-duong-giao-thong-un-tac-cuc-bo-15134.html" TargetMode="External"/><Relationship Id="rId200" Type="http://schemas.openxmlformats.org/officeDocument/2006/relationships/hyperlink" Target="https://laodong.vn/moi-truong/nhieu-tuyen-duong-van-chua-the-luu-thong-ha-noi-mo-cua-phai-cac-ho-dieu-hoa-thoat-nuoc-1564043.ldo" TargetMode="External"/><Relationship Id="rId16" Type="http://schemas.openxmlformats.org/officeDocument/2006/relationships/hyperlink" Target="https://www.qdnd.vn/xa-hoi/tin-tuc/mua-xoi-xa-nhieu-tuyen-pho-ha-noi-lai-ngap-780305" TargetMode="External"/><Relationship Id="rId221" Type="http://schemas.openxmlformats.org/officeDocument/2006/relationships/hyperlink" Target="https://vnexpress.net/pho-co-ha-noi-ngap-sau-tran-mua-lon-4781156.html" TargetMode="External"/><Relationship Id="rId242" Type="http://schemas.openxmlformats.org/officeDocument/2006/relationships/hyperlink" Target="https://vtv.vn/xa-hoi/bao-so-3-mua-lon-gay-ngap-ung-tren-cac-tuyen-pho-khu-do-thi-tai-ha-noi-20240908003534701.htm" TargetMode="External"/><Relationship Id="rId263" Type="http://schemas.openxmlformats.org/officeDocument/2006/relationships/hyperlink" Target="https://kinhtedothi.vn/nhieu-ho-dan-o-ha-dong-thuong-xuyen-bi-co-lap-sau-moi-tran-mua-lon.html" TargetMode="External"/><Relationship Id="rId37" Type="http://schemas.openxmlformats.org/officeDocument/2006/relationships/hyperlink" Target="https://kinhtedothi.vn/mua-xoi-xa-ngay-giua-trua-nhieu-tuyen-pho-cua-ha-noi-ngap-sau.html" TargetMode="External"/><Relationship Id="rId58" Type="http://schemas.openxmlformats.org/officeDocument/2006/relationships/hyperlink" Target="https://dantri.com.vn/thoi-su/mua-nhu-trut-nuoc-nhan-chim-nhieu-tuyen-duong-o-ha-noi-20240823005957568.htm" TargetMode="External"/><Relationship Id="rId79" Type="http://schemas.openxmlformats.org/officeDocument/2006/relationships/hyperlink" Target="https://dtinews.dantri.com.vn/vietnam-today/many-hanoi-streets-deeply-flooded-following-heavy-rain-20230612155211913.htm" TargetMode="External"/><Relationship Id="rId102" Type="http://schemas.openxmlformats.org/officeDocument/2006/relationships/hyperlink" Target="https://kinhtedothi.vn/ha-noi-mua-to-xoi-xa-nhieu-tuyen-duong-ngap-sau.html" TargetMode="External"/><Relationship Id="rId123" Type="http://schemas.openxmlformats.org/officeDocument/2006/relationships/hyperlink" Target="https://vov.vn/kinh-te/mua-hon-200mm-gay-ung-ngap-cuc-bo-nhieu-noi-tai-ha-noi-post1182035.vov" TargetMode="External"/><Relationship Id="rId144" Type="http://schemas.openxmlformats.org/officeDocument/2006/relationships/hyperlink" Target="https://vtv.vn/xa-hoi/mua-lon-gay-ngap-ung-cuc-bo-tai-ha-noi-20240520061735155.htm" TargetMode="External"/><Relationship Id="rId90" Type="http://schemas.openxmlformats.org/officeDocument/2006/relationships/hyperlink" Target="https://hanoimoi.vn/ha-noi-mua-lon-gay-ung-ngap-nhieu-tuyen-pho-cay-bat-goc-de-trung-o-to-520866.html" TargetMode="External"/><Relationship Id="rId165" Type="http://schemas.openxmlformats.org/officeDocument/2006/relationships/hyperlink" Target="https://baotintuc.vn/van-de-quan-tam/mua-to-canh-bao-ngap-ung-tren-nhieu-tuyen-pho-noi-thanh-ha-noi-20240823220834809.htm" TargetMode="External"/><Relationship Id="rId186" Type="http://schemas.openxmlformats.org/officeDocument/2006/relationships/hyperlink" Target="https://bnews.vn/nhieu-tuyen-pho-ha-noi-lai-ngap-sau-do-mua-lon-keo-dai/307968.html" TargetMode="External"/><Relationship Id="rId211" Type="http://schemas.openxmlformats.org/officeDocument/2006/relationships/hyperlink" Target="https://vtv.vn/xa-hoi/mua-lon-gay-ngap-ung-cuc-bo-tai-ha-noi-20240520061735155.htm" TargetMode="External"/><Relationship Id="rId232" Type="http://schemas.openxmlformats.org/officeDocument/2006/relationships/hyperlink" Target="https://vietnamnet.vn/mua-lon-loat-tuyen-pho-o-ha-noi-chim-trong-bien-nuoc-2024527.html" TargetMode="External"/><Relationship Id="rId253" Type="http://schemas.openxmlformats.org/officeDocument/2006/relationships/hyperlink" Target="https://tuoitre.vn/29-diem-ngap-o-ha-noi-xe-co-khong-the-luu-thong-20251007120908836.htm" TargetMode="External"/><Relationship Id="rId274" Type="http://schemas.openxmlformats.org/officeDocument/2006/relationships/table" Target="../tables/table1.xml"/><Relationship Id="rId27" Type="http://schemas.openxmlformats.org/officeDocument/2006/relationships/hyperlink" Target="https://dantocphattrien.vietnamnet.vn/anh-huong-con-bao-so-2-nhieu-tuyen-pho-ha-noi-ngap-sau-1721739293263.htm" TargetMode="External"/><Relationship Id="rId48" Type="http://schemas.openxmlformats.org/officeDocument/2006/relationships/hyperlink" Target="https://vietnamnet.vn/bao-so-3-yagi-ha-noi-mua-lon-gio-giat-den-dem-canh-bao-ngap-lut-o-noi-thanh-2319473.html" TargetMode="External"/><Relationship Id="rId69" Type="http://schemas.openxmlformats.org/officeDocument/2006/relationships/hyperlink" Target="https://tuoitre.vn/mua-xuyen-dem-duong-pho-ha-noi-bat-dau-ngap-sau-20251007062802573.htm" TargetMode="External"/><Relationship Id="rId113" Type="http://schemas.openxmlformats.org/officeDocument/2006/relationships/hyperlink" Target="https://news.laodong.vn/giao-thong/mua-phun-bao-phu-nhieu-tuyen-pho-ha-noi-un-tac-tu-sang-som-1602672.ldo" TargetMode="External"/><Relationship Id="rId134" Type="http://schemas.openxmlformats.org/officeDocument/2006/relationships/hyperlink" Target="https://www.luagaoviet.com/ban-tin-tren-mang/nuoc-lu-song-hong-len-gan-toi-mat-cau-chuong-duong-nguy-co-ngap-lut-o-ha-noi" TargetMode="External"/><Relationship Id="rId80" Type="http://schemas.openxmlformats.org/officeDocument/2006/relationships/hyperlink" Target="https://znews.vn/nguoi-dan-trang-dem-tat-nuoc-don-dep-nha-cua-sau-tran-mua-lon-post1214423.html" TargetMode="External"/><Relationship Id="rId155" Type="http://schemas.openxmlformats.org/officeDocument/2006/relationships/hyperlink" Target="https://nguoidothi.net.vn/ha-noi-bao-gio-het-ngap-lut-ben-vung-41139.html" TargetMode="External"/><Relationship Id="rId176" Type="http://schemas.openxmlformats.org/officeDocument/2006/relationships/hyperlink" Target="https://laodong.vn/xa-hoi/ha-noi-loay-hoay-xu-ly-ngap-ung-trong-noi-do-828693.ldo" TargetMode="External"/><Relationship Id="rId197" Type="http://schemas.openxmlformats.org/officeDocument/2006/relationships/hyperlink" Target="https://nhiepanhdoisong.vn/ha-noi-mua-lon-gay-ngap-ung-nhieu-tuyen-duong-giao-thong-un-tac-cuc-bo-15134.html" TargetMode="External"/><Relationship Id="rId201" Type="http://schemas.openxmlformats.org/officeDocument/2006/relationships/hyperlink" Target="https://thanhnien.vn/mua-lon-ngap-duong-nguoi-ha-noi-lai-bi-bom-di-lam-185240916080700476.htm" TargetMode="External"/><Relationship Id="rId222" Type="http://schemas.openxmlformats.org/officeDocument/2006/relationships/hyperlink" Target="https://thanglong.chinhphu.vn/ha-noi-ung-truc-giai-thoat-nuoc-kip-thoi-trong-ngay-mua-bao-103240513104127317.htm" TargetMode="External"/><Relationship Id="rId243" Type="http://schemas.openxmlformats.org/officeDocument/2006/relationships/hyperlink" Target="https://www.sggp.org.vn/long-bien-thanh-tri-hoang-mai-ha-dong-ha-noi-ngap-nang-do-mua-lon-post750745.html" TargetMode="External"/><Relationship Id="rId264" Type="http://schemas.openxmlformats.org/officeDocument/2006/relationships/hyperlink" Target="https://baotintuc.vn/xa-hoi/mua-lon-gay-ngap-ung-mot-so-tuyen-duong-tai-ha-noi-20230928095836388.htm" TargetMode="External"/><Relationship Id="rId17" Type="http://schemas.openxmlformats.org/officeDocument/2006/relationships/hyperlink" Target="https://vnexpress.net/pho-co-ha-noi-ngap-sau-tran-mua-lon-4781156.html" TargetMode="External"/><Relationship Id="rId38" Type="http://schemas.openxmlformats.org/officeDocument/2006/relationships/hyperlink" Target="https://kinhtedothi.vn/mua-xoi-xa-ngay-giua-trua-nhieu-tuyen-pho-cua-ha-noi-ngap-sau.html" TargetMode="External"/><Relationship Id="rId59" Type="http://schemas.openxmlformats.org/officeDocument/2006/relationships/hyperlink" Target="https://dantri.com.vn/thoi-su/mua-nhu-trut-nuoc-nhan-chim-nhieu-tuyen-duong-o-ha-noi-20240823005957568.htm" TargetMode="External"/><Relationship Id="rId103" Type="http://schemas.openxmlformats.org/officeDocument/2006/relationships/hyperlink" Target="https://znews.vn/mua-lon-chieu-toi-nhieu-tuyen-pho-ha-noi-ngap-sau-post1474652.html" TargetMode="External"/><Relationship Id="rId124" Type="http://schemas.openxmlformats.org/officeDocument/2006/relationships/hyperlink" Target="https://thanglong.chinhphu.vn/ha-noi-ung-truc-giai-thoat-nuoc-kip-thoi-trong-ngay-mua-bao-103240513104127317.htm" TargetMode="External"/><Relationship Id="rId70" Type="http://schemas.openxmlformats.org/officeDocument/2006/relationships/hyperlink" Target="https://tuoitre.vn/mua-xuyen-dem-duong-pho-ha-noi-bat-dau-ngap-sau-20251007062802573.htm" TargetMode="External"/><Relationship Id="rId91" Type="http://schemas.openxmlformats.org/officeDocument/2006/relationships/hyperlink" Target="https://hanoimoi.vn/ha-noi-mua-lon-gay-ung-ngap-nhieu-tuyen-pho-cay-bat-goc-de-trung-o-to-520866.html" TargetMode="External"/><Relationship Id="rId145" Type="http://schemas.openxmlformats.org/officeDocument/2006/relationships/hyperlink" Target="https://kinhtedothi.vn/ha-noi-mua-to-xoi-xa-nhieu-tuyen-duong-ngap-sau.html" TargetMode="External"/><Relationship Id="rId166" Type="http://schemas.openxmlformats.org/officeDocument/2006/relationships/hyperlink" Target="https://baotintuc.vn/van-de-quan-tam/mua-to-canh-bao-ngap-ung-tren-nhieu-tuyen-pho-noi-thanh-ha-noi-20240823220834809.htm" TargetMode="External"/><Relationship Id="rId187" Type="http://schemas.openxmlformats.org/officeDocument/2006/relationships/hyperlink" Target="https://bnews.vn/nhieu-tuyen-pho-ha-noi-lai-ngap-sau-do-mua-lon-keo-dai/307968.html" TargetMode="External"/><Relationship Id="rId1" Type="http://schemas.openxmlformats.org/officeDocument/2006/relationships/hyperlink" Target="https://www.qdnd.vn/xa-hoi/tin-tuc/ha-noi-anh-huong-cua-hoan-luu-bao-so-2-nhieu-tuyen-pho-ngap-ung-sau-786588" TargetMode="External"/><Relationship Id="rId212" Type="http://schemas.openxmlformats.org/officeDocument/2006/relationships/hyperlink" Target="https://thanglong.chinhphu.vn/ha-noi-122-diem-ngap-nuoc-trong-do-23-diem-ngap-sau-khong-luu-thong-duoc-103251007111035109.htm" TargetMode="External"/><Relationship Id="rId233" Type="http://schemas.openxmlformats.org/officeDocument/2006/relationships/hyperlink" Target="https://vov.vn/xa-hoi/tin-24h/mua-lon-vao-gio-tan-tam-khien-duong-pho-ha-noi-ngap-sau-giao-thong-ach-tac-857002.vov" TargetMode="External"/><Relationship Id="rId254" Type="http://schemas.openxmlformats.org/officeDocument/2006/relationships/hyperlink" Target="https://www.vietnamplus.vn/ha-noi-nhieu-tuyen-pho-ngap-sau-sau-tran-mua-lon-keo-dai-post946997.vnp" TargetMode="External"/><Relationship Id="rId28" Type="http://schemas.openxmlformats.org/officeDocument/2006/relationships/hyperlink" Target="https://baotintuc.vn/thoi-su/ha-noi-pho-bui-xuong-trach-ngap-menh-mong-nuoc-tran-vao-nha-dan-20240822232830947.htm" TargetMode="External"/><Relationship Id="rId49" Type="http://schemas.openxmlformats.org/officeDocument/2006/relationships/hyperlink" Target="https://kinhtedothi.vn/cap-nhat-sieu-bao-yagi-can-quet-ha-noi-hang-tram-cay-do-ngap-lut.html" TargetMode="External"/><Relationship Id="rId114" Type="http://schemas.openxmlformats.org/officeDocument/2006/relationships/hyperlink" Target="https://tuoitre.vn/mua-lon-vao-gio-tan-tam-nhieu-tuyen-pho-ha-noi-ngap-sau-un-tac-20250630181157935.htm" TargetMode="External"/><Relationship Id="rId275" Type="http://schemas.openxmlformats.org/officeDocument/2006/relationships/table" Target="../tables/table2.xml"/><Relationship Id="rId60" Type="http://schemas.openxmlformats.org/officeDocument/2006/relationships/hyperlink" Target="https://dantri.com.vn/thoi-su/mua-nhu-trut-nuoc-nhan-chim-nhieu-tuyen-duong-o-ha-noi-20240823005957568.htm" TargetMode="External"/><Relationship Id="rId81" Type="http://schemas.openxmlformats.org/officeDocument/2006/relationships/hyperlink" Target="https://vietnamnet.vn/mua-lon-loat-tuyen-pho-o-ha-noi-chim-trong-bien-nuoc-2024527.html" TargetMode="External"/><Relationship Id="rId135" Type="http://schemas.openxmlformats.org/officeDocument/2006/relationships/hyperlink" Target="https://tienphong.vn/cap-nhat-54-diem-ngap-sau-o-ha-noi-nguoi-dan-di-chuyen-bang-thuyen-o-my-dinh-post1784727.tpo" TargetMode="External"/><Relationship Id="rId156" Type="http://schemas.openxmlformats.org/officeDocument/2006/relationships/hyperlink" Target="https://nguoidothi.net.vn/ha-noi-bao-gio-het-ngap-lut-ben-vung-41139.html" TargetMode="External"/><Relationship Id="rId177" Type="http://schemas.openxmlformats.org/officeDocument/2006/relationships/hyperlink" Target="https://vovgiaothong.vn/chong-ngap-cho-ha-noi-d27202.html" TargetMode="External"/><Relationship Id="rId198" Type="http://schemas.openxmlformats.org/officeDocument/2006/relationships/hyperlink" Target="https://laodong.vn/moi-truong/nhieu-tuyen-duong-van-chua-the-luu-thong-ha-noi-mo-cua-phai-cac-ho-dieu-hoa-thoat-nuoc-1564043.ldo" TargetMode="External"/><Relationship Id="rId202" Type="http://schemas.openxmlformats.org/officeDocument/2006/relationships/hyperlink" Target="https://tienphong.vn/mua-rat-lon-dien-bien-ngap-lut-o-ha-noi-them-phuc-tap-post1673494.tpo" TargetMode="External"/><Relationship Id="rId223" Type="http://schemas.openxmlformats.org/officeDocument/2006/relationships/hyperlink" Target="https://thanglong.chinhphu.vn/ha-noi-ung-truc-giai-thoat-nuoc-kip-thoi-trong-ngay-mua-bao-103240513104127317.htm" TargetMode="External"/><Relationship Id="rId244" Type="http://schemas.openxmlformats.org/officeDocument/2006/relationships/hyperlink" Target="https://nhandan.vn/anh-ha-noi-mua-lon-gay-un-tac-giao-thong-nhieu-tuyen-duong-dau-gio-sang-post800564.html" TargetMode="External"/><Relationship Id="rId18" Type="http://schemas.openxmlformats.org/officeDocument/2006/relationships/hyperlink" Target="https://kinhtedothi.vn/mua-xoi-xa-ngay-giua-trua-nhieu-tuyen-pho-cua-ha-noi-ngap-sau.html" TargetMode="External"/><Relationship Id="rId39" Type="http://schemas.openxmlformats.org/officeDocument/2006/relationships/hyperlink" Target="https://vietnamnet.vn/khu-dan-cu-ha-noi-bi-ngap-sau-sau-tran-mua-giua-trua-2176321.html" TargetMode="External"/><Relationship Id="rId265" Type="http://schemas.openxmlformats.org/officeDocument/2006/relationships/hyperlink" Target="https://www.facebook.com/share/r/1B1fGqPVfj/" TargetMode="External"/><Relationship Id="rId50" Type="http://schemas.openxmlformats.org/officeDocument/2006/relationships/hyperlink" Target="https://baotintuc.vn/ha-noi/mua-xuyen-dem-duong-pho-ha-noi-menh-mong-bien-nuoc-20251007083440951.htm" TargetMode="External"/><Relationship Id="rId104" Type="http://schemas.openxmlformats.org/officeDocument/2006/relationships/hyperlink" Target="https://kinhtedothi.vn/ha-noi-mua-to-xoi-xa-nhieu-tuyen-duong-ngap-sau.html" TargetMode="External"/><Relationship Id="rId125" Type="http://schemas.openxmlformats.org/officeDocument/2006/relationships/hyperlink" Target="https://thanglong.chinhphu.vn/ha-noi-ung-truc-giai-thoat-nuoc-kip-thoi-trong-ngay-mua-bao-103240513104127317.htm" TargetMode="External"/><Relationship Id="rId146" Type="http://schemas.openxmlformats.org/officeDocument/2006/relationships/hyperlink" Target="https://hanoitimes.vn/super-typhoon-yagi-weakens-to-tropical-depression-heavy-rain-flooding-landslides-expected.593867.html" TargetMode="External"/><Relationship Id="rId167" Type="http://schemas.openxmlformats.org/officeDocument/2006/relationships/hyperlink" Target="https://laodong.vn/xa-hoi/ha-noi-mua-ngap-nhieu-tuyen-duong-cong-nhan-dam-minh-xu-ly-thoat-nuoc-1080018.ldo" TargetMode="External"/><Relationship Id="rId188" Type="http://schemas.openxmlformats.org/officeDocument/2006/relationships/hyperlink" Target="https://kinhtedothi.vn/ha-noi-mua-to-xoi-xa-nhieu-tuyen-duong-ngap-sau.html" TargetMode="External"/><Relationship Id="rId71" Type="http://schemas.openxmlformats.org/officeDocument/2006/relationships/hyperlink" Target="https://baotintuc.vn/xa-hoi/ha-noi-mua-lon-dau-gio-sang-nhieu-tuyen-duong-ngap-ung-un-tac-cuc-bo-20240910084505925.htm" TargetMode="External"/><Relationship Id="rId92" Type="http://schemas.openxmlformats.org/officeDocument/2006/relationships/hyperlink" Target="https://hanoimoi.vn/ha-noi-mua-lon-gay-ung-ngap-nhieu-tuyen-pho-cay-bat-goc-de-trung-o-to-520866.html" TargetMode="External"/><Relationship Id="rId213" Type="http://schemas.openxmlformats.org/officeDocument/2006/relationships/hyperlink" Target="https://thanglong.chinhphu.vn/ha-noi-122-diem-ngap-nuoc-trong-do-23-diem-ngap-sau-khong-luu-thong-duoc-103251007111035109.htm" TargetMode="External"/><Relationship Id="rId234" Type="http://schemas.openxmlformats.org/officeDocument/2006/relationships/hyperlink" Target="https://vtv.vn/xa-hoi/canh-bao-ngap-lut-khu-vuc-noi-thanh-ha-noi-20230508114509237.htm" TargetMode="External"/><Relationship Id="rId2" Type="http://schemas.openxmlformats.org/officeDocument/2006/relationships/hyperlink" Target="https://www.qdnd.vn/xa-hoi/tin-tuc/ha-noi-anh-huong-cua-hoan-luu-bao-so-2-nhieu-tuyen-pho-ngap-ung-sau-786588" TargetMode="External"/><Relationship Id="rId29" Type="http://schemas.openxmlformats.org/officeDocument/2006/relationships/hyperlink" Target="https://vietnamnet.vn/bao-so-3-yagi-ha-noi-mua-lon-gio-giat-den-dem-canh-bao-ngap-lut-o-noi-thanh-2319473.html" TargetMode="External"/><Relationship Id="rId255" Type="http://schemas.openxmlformats.org/officeDocument/2006/relationships/hyperlink" Target="https://www.qdnd.vn/xa-hoi/tin-tuc/ha-noi-mua-lon-bat-ngo-nhieu-tuyen-pho-ngap-sau-trong-nuoc-776624" TargetMode="External"/><Relationship Id="rId276" Type="http://schemas.openxmlformats.org/officeDocument/2006/relationships/table" Target="../tables/table3.xml"/><Relationship Id="rId40" Type="http://schemas.openxmlformats.org/officeDocument/2006/relationships/hyperlink" Target="https://baomoi.com/nhieu-tuyen-pho-ha-noi-lai-ngap-sau-do-mua-lon-keo-dai-c47058895.epi" TargetMode="External"/><Relationship Id="rId115" Type="http://schemas.openxmlformats.org/officeDocument/2006/relationships/hyperlink" Target="https://nongnghiepmoitruong.vn/nhieu-tuyen-pho-ha-noi-ngap-sau-sau-mua-lon-d769635.html" TargetMode="External"/><Relationship Id="rId136" Type="http://schemas.openxmlformats.org/officeDocument/2006/relationships/hyperlink" Target="https://tuoitre.vn/vi-sao-loat-tuyen-pho-ha-noi-ngap-trong-bien-nuoc-sang-26-8-20250826121609981.htm" TargetMode="External"/><Relationship Id="rId157" Type="http://schemas.openxmlformats.org/officeDocument/2006/relationships/hyperlink" Target="https://nguoidothi.net.vn/ha-noi-bao-gio-het-ngap-lut-ben-vung-41139.html" TargetMode="External"/><Relationship Id="rId178" Type="http://schemas.openxmlformats.org/officeDocument/2006/relationships/hyperlink" Target="https://vovgiaothong.vn/chong-ngap-cho-ha-noi-d27202.html" TargetMode="External"/><Relationship Id="rId61" Type="http://schemas.openxmlformats.org/officeDocument/2006/relationships/hyperlink" Target="https://baotintuc.vn/thoi-su/ha-noi-pho-bui-xuong-trach-ngap-menh-mong-nuoc-tran-vao-nha-dan-20240822232830947.htm" TargetMode="External"/><Relationship Id="rId82" Type="http://schemas.openxmlformats.org/officeDocument/2006/relationships/hyperlink" Target="https://kenh14.vn/ha-noi-mua-lon-nhieu-tuyen-pho-un-tac-nghiem-trong-ngap-sau-trong-bien-nuoc-20220812115529236.chn" TargetMode="External"/><Relationship Id="rId199" Type="http://schemas.openxmlformats.org/officeDocument/2006/relationships/hyperlink" Target="https://laodong.vn/moi-truong/nhieu-tuyen-duong-van-chua-the-luu-thong-ha-noi-mo-cua-phai-cac-ho-dieu-hoa-thoat-nuoc-1564043.ldo" TargetMode="External"/><Relationship Id="rId203" Type="http://schemas.openxmlformats.org/officeDocument/2006/relationships/hyperlink" Target="https://www.thiennhien.net/2022/05/29/mua-lon-hang-loat-tuyen-pho-o-ha-noi-ngap-nang/" TargetMode="External"/><Relationship Id="rId19" Type="http://schemas.openxmlformats.org/officeDocument/2006/relationships/hyperlink" Target="https://kinhtedothi.vn/mua-xoi-xa-ngay-giua-trua-nhieu-tuyen-pho-cua-ha-noi-ngap-sau.html" TargetMode="External"/><Relationship Id="rId224" Type="http://schemas.openxmlformats.org/officeDocument/2006/relationships/hyperlink" Target="https://tuoitre.vn/video/truc-tiep-nhieu-tuyen-duong-o-ha-noi-ngap-sau-con-mua-sang-ngay-5-6-162252.htm" TargetMode="External"/><Relationship Id="rId245" Type="http://schemas.openxmlformats.org/officeDocument/2006/relationships/hyperlink" Target="https://tienphong.vn/ha-noi-quan-hoang-mai-don-dot-mua-lon-hiem-gap-post1663480.tpo" TargetMode="External"/><Relationship Id="rId266" Type="http://schemas.openxmlformats.org/officeDocument/2006/relationships/hyperlink" Target="https://vtv.vn/xa-hoi/ha-noi-mua-lon-don-dap-gay-ngap-nhieu-tuyen-pho-20240513061014092.htm" TargetMode="External"/><Relationship Id="rId30" Type="http://schemas.openxmlformats.org/officeDocument/2006/relationships/hyperlink" Target="https://kinhtedothi.vn/cap-nhat-sieu-bao-yagi-can-quet-ha-noi-hang-tram-cay-do-ngap-lut.html" TargetMode="External"/><Relationship Id="rId105" Type="http://schemas.openxmlformats.org/officeDocument/2006/relationships/hyperlink" Target="https://www.sggp.org.vn/ha-noi-mua-to-gay-ngap-co-noi-mat-dien-post739533.html" TargetMode="External"/><Relationship Id="rId126" Type="http://schemas.openxmlformats.org/officeDocument/2006/relationships/hyperlink" Target="https://thanglong.chinhphu.vn/ha-noi-ung-truc-giai-thoat-nuoc-kip-thoi-trong-ngay-mua-bao-103240513104127317.htm" TargetMode="External"/><Relationship Id="rId147" Type="http://schemas.openxmlformats.org/officeDocument/2006/relationships/hyperlink" Target="https://hanoitimes.vn/super-typhoon-yagi-weakens-to-tropical-depression-heavy-rain-flooding-landslides-expected.593867.html" TargetMode="External"/><Relationship Id="rId168" Type="http://schemas.openxmlformats.org/officeDocument/2006/relationships/hyperlink" Target="https://nongnghiepmoitruong.vn/mua-lon-duong-my-dinh-dinh-thon-ngap-nang-d399206.html" TargetMode="External"/><Relationship Id="rId51" Type="http://schemas.openxmlformats.org/officeDocument/2006/relationships/hyperlink" Target="https://baotintuc.vn/ha-noi/mua-xuyen-dem-duong-pho-ha-noi-menh-mong-bien-nuoc-20251007083440951.htm" TargetMode="External"/><Relationship Id="rId72" Type="http://schemas.openxmlformats.org/officeDocument/2006/relationships/hyperlink" Target="https://thanhnien.vn/sau-tran-mua-lon-ha-noi-co-gan-40-diem-ung-ngap-185240916104952486.htm" TargetMode="External"/><Relationship Id="rId93" Type="http://schemas.openxmlformats.org/officeDocument/2006/relationships/hyperlink" Target="https://hanoimoi.vn/ha-noi-mua-lon-gay-ung-ngap-nhieu-tuyen-pho-cay-bat-goc-de-trung-o-to-520866.html" TargetMode="External"/><Relationship Id="rId189" Type="http://schemas.openxmlformats.org/officeDocument/2006/relationships/hyperlink" Target="https://kinhtedothi.vn/ha-noi-mua-to-xoi-xa-nhieu-tuyen-duong-ngap-sau.html" TargetMode="External"/><Relationship Id="rId3" Type="http://schemas.openxmlformats.org/officeDocument/2006/relationships/hyperlink" Target="https://tuoitre.vn/ha-noi-rut-bao-dong-2-tren-song-hong-song-duong-20240913082602782.htm" TargetMode="External"/><Relationship Id="rId214" Type="http://schemas.openxmlformats.org/officeDocument/2006/relationships/hyperlink" Target="https://suckhoedoisong.vn/anh-ho-van-quan-ha-noi-thanh-bien-nuoc-tran-ngap-cac-nga-duong-169240910164053125.htm" TargetMode="External"/><Relationship Id="rId235" Type="http://schemas.openxmlformats.org/officeDocument/2006/relationships/hyperlink" Target="https://e.vnexpress.net/photo/news/heavy-downpour-floods-hanoi-streets-4636261.html" TargetMode="External"/><Relationship Id="rId256" Type="http://schemas.openxmlformats.org/officeDocument/2006/relationships/hyperlink" Target="https://www.qdnd.vn/xa-hoi/tin-tuc/ha-noi-mua-lon-bat-ngo-nhieu-tuyen-pho-ngap-sau-trong-nuoc-776624" TargetMode="External"/><Relationship Id="rId116" Type="http://schemas.openxmlformats.org/officeDocument/2006/relationships/hyperlink" Target="https://kinhtedothi.vn/ha-noi-mua-trang-troi-ngap-ung-nhieu-tuyen-pho.821198.html" TargetMode="External"/><Relationship Id="rId137" Type="http://schemas.openxmlformats.org/officeDocument/2006/relationships/hyperlink" Target="https://tuoitre.vn/vi-sao-loat-tuyen-pho-ha-noi-ngap-trong-bien-nuoc-sang-26-8-20250826121609981.htm" TargetMode="External"/><Relationship Id="rId158" Type="http://schemas.openxmlformats.org/officeDocument/2006/relationships/hyperlink" Target="https://tienphong.vn/cap-nhat-54-diem-ngap-sau-o-ha-noi-nguoi-dan-di-chuyen-bang-thuyen-o-my-dinh-post1784727.tpo" TargetMode="External"/><Relationship Id="rId20" Type="http://schemas.openxmlformats.org/officeDocument/2006/relationships/hyperlink" Target="https://vietnamnet.vn/khu-dan-cu-ha-noi-bi-ngap-sau-sau-tran-mua-giua-trua-2176321.html" TargetMode="External"/><Relationship Id="rId41" Type="http://schemas.openxmlformats.org/officeDocument/2006/relationships/hyperlink" Target="https://thanhnien.vn/ha-noi-mua-cuc-to-duong-pho-chim-trong-bien-nuoc-xe-chet-may-la-liet-185230928102251253.htm" TargetMode="External"/><Relationship Id="rId62" Type="http://schemas.openxmlformats.org/officeDocument/2006/relationships/hyperlink" Target="https://vtcnews.vn/anh-duong-ha-noi-ngap-sau-un-tac-khung-khiep-sau-con-mua-lon-gio-tan-tam-ar487064.html" TargetMode="External"/><Relationship Id="rId83" Type="http://schemas.openxmlformats.org/officeDocument/2006/relationships/hyperlink" Target="https://kenh14.vn/ha-noi-mua-lon-nhieu-tuyen-pho-un-tac-nghiem-trong-ngap-sau-trong-bien-nuoc-20220812115529236.chn" TargetMode="External"/><Relationship Id="rId179" Type="http://schemas.openxmlformats.org/officeDocument/2006/relationships/hyperlink" Target="https://vovgiaothong.vn/chong-ngap-cho-ha-noi-d27202.html" TargetMode="External"/><Relationship Id="rId190" Type="http://schemas.openxmlformats.org/officeDocument/2006/relationships/hyperlink" Target="https://kinhtedothi.vn/ha-noi-mua-to-xoi-xa-nhieu-tuyen-duong-ngap-sau.html" TargetMode="External"/><Relationship Id="rId204" Type="http://schemas.openxmlformats.org/officeDocument/2006/relationships/hyperlink" Target="https://laodong.vn/xa-hoi/ha-noi-mua-ngap-nhieu-tuyen-duong-cong-nhan-dam-minh-xu-ly-thoat-nuoc-1080018.ldo" TargetMode="External"/><Relationship Id="rId225" Type="http://schemas.openxmlformats.org/officeDocument/2006/relationships/hyperlink" Target="https://tuoitre.vn/video/truc-tiep-nhieu-tuyen-duong-o-ha-noi-ngap-sau-con-mua-sang-ngay-5-6-162252.htm" TargetMode="External"/><Relationship Id="rId246" Type="http://schemas.openxmlformats.org/officeDocument/2006/relationships/hyperlink" Target="https://tuoitre.vn/ha-noi-mua-bao-so-5-ca-dem-nhieu-duong-ngap-sau-giao-thong-te-liet-20250826064554044.htm" TargetMode="External"/><Relationship Id="rId267" Type="http://schemas.openxmlformats.org/officeDocument/2006/relationships/hyperlink" Target="https://vnexpress.net/ha-noi-mua-lon-ngap-nhieu-tuyen-pho-4754549.html" TargetMode="External"/><Relationship Id="rId106" Type="http://schemas.openxmlformats.org/officeDocument/2006/relationships/hyperlink" Target="https://tuoitre.vn/mua-lon-nhieu-duong-pho-ha-noi-thanh-song-xe-co-hon-loan-20240515175013165.htm" TargetMode="External"/><Relationship Id="rId127" Type="http://schemas.openxmlformats.org/officeDocument/2006/relationships/hyperlink" Target="https://news.tuoitre.vn/downtown-streets-drowned-by-drawn-out-downpour-in-hanoi-10379837.htm" TargetMode="External"/><Relationship Id="rId10" Type="http://schemas.openxmlformats.org/officeDocument/2006/relationships/hyperlink" Target="https://kinhtedothi.vn/duong-pho-ha-noi-ngap-ung-trong-con-mua-lon-toi-13-6.html" TargetMode="External"/><Relationship Id="rId31" Type="http://schemas.openxmlformats.org/officeDocument/2006/relationships/hyperlink" Target="https://vietnamnet.vn/nhieu-tuyen-pho-ha-noi-ngap-sau-sau-tran-mua-lon-sang-16-9-2322503.html" TargetMode="External"/><Relationship Id="rId52" Type="http://schemas.openxmlformats.org/officeDocument/2006/relationships/hyperlink" Target="https://www.youtube.com/watch?v=kl-W3gyMm_U" TargetMode="External"/><Relationship Id="rId73" Type="http://schemas.openxmlformats.org/officeDocument/2006/relationships/hyperlink" Target="https://thanhnien.vn/sau-tran-mua-lon-ha-noi-co-gan-40-diem-ung-ngap-185240916104952486.htm" TargetMode="External"/><Relationship Id="rId94" Type="http://schemas.openxmlformats.org/officeDocument/2006/relationships/hyperlink" Target="https://dantri.com.vn/thoi-su/ha-noi-ngap-nang-sau-mua-lon-nguoi-va-xe-boi-tren-pho-20230620194720272.htm" TargetMode="External"/><Relationship Id="rId148" Type="http://schemas.openxmlformats.org/officeDocument/2006/relationships/hyperlink" Target="https://hanoitimes.vn/super-typhoon-yagi-weakens-to-tropical-depression-heavy-rain-flooding-landslides-expected.593867.html" TargetMode="External"/><Relationship Id="rId169" Type="http://schemas.openxmlformats.org/officeDocument/2006/relationships/hyperlink" Target="https://nongnghiepmoitruong.vn/mua-lon-duong-my-dinh-dinh-thon-ngap-nang-d399206.html" TargetMode="External"/><Relationship Id="rId4" Type="http://schemas.openxmlformats.org/officeDocument/2006/relationships/hyperlink" Target="https://vnanet.vn/vi/anh/anh-thoi-su-trong-nuoc-1014/mua-lon-chieu-178-gay-ngap-cuc-bo-nhieu-tuyen-pho-ha-noi-4967394.html" TargetMode="External"/><Relationship Id="rId180" Type="http://schemas.openxmlformats.org/officeDocument/2006/relationships/hyperlink" Target="https://vovgiaothong.vn/chong-ngap-cho-ha-noi-d27202.html" TargetMode="External"/><Relationship Id="rId215" Type="http://schemas.openxmlformats.org/officeDocument/2006/relationships/hyperlink" Target="https://tuoitrethudo.vn/nuoc-song-dang-cao-ha-dong-bi-ngap-ung-nhieu-diem-259501.html" TargetMode="External"/><Relationship Id="rId236" Type="http://schemas.openxmlformats.org/officeDocument/2006/relationships/hyperlink" Target="https://e.vnexpress.net/photo/environment/summer-downpour-floods-hanoi-streets-4616615.html" TargetMode="External"/><Relationship Id="rId257" Type="http://schemas.openxmlformats.org/officeDocument/2006/relationships/hyperlink" Target="https://baotintuc.vn/xa-hoi/nhieu-ngo-pho-ngoai-de-hoan-kiem-ha-noi-ngap-sau-nguoi-dan-di-thuyen-tren-pho-20240911113436141.htm" TargetMode="External"/><Relationship Id="rId42" Type="http://schemas.openxmlformats.org/officeDocument/2006/relationships/hyperlink" Target="https://www.qdnd.vn/xa-hoi/tin-tuc/mua-lon-gay-nguy-co-ngap-lut-o-nhieu-noi-tai-ha-noi-744666" TargetMode="External"/><Relationship Id="rId84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138" Type="http://schemas.openxmlformats.org/officeDocument/2006/relationships/hyperlink" Target="https://tienphong.vn/cap-nhat-54-diem-ngap-sau-o-ha-noi-nguoi-dan-di-chuyen-bang-thuyen-o-my-dinh-post1784727.tpo" TargetMode="External"/><Relationship Id="rId191" Type="http://schemas.openxmlformats.org/officeDocument/2006/relationships/hyperlink" Target="https://kinhtedothi.vn/ha-noi-mua-to-xoi-xa-nhieu-tuyen-duong-ngap-sau.html" TargetMode="External"/><Relationship Id="rId205" Type="http://schemas.openxmlformats.org/officeDocument/2006/relationships/hyperlink" Target="https://vnexpress.net/nhieu-tuyen-pho-ha-noi-ngap-sau-sau-mua-lon-4636178.html" TargetMode="External"/><Relationship Id="rId247" Type="http://schemas.openxmlformats.org/officeDocument/2006/relationships/hyperlink" Target="https://www.qdnd.vn/xa-hoi/tin-tuc/ha-noi-mua-lon-suot-dem-ngap-lut-nhieu-tuyen-duong-843074" TargetMode="External"/><Relationship Id="rId107" Type="http://schemas.openxmlformats.org/officeDocument/2006/relationships/hyperlink" Target="https://vtcnews.vn/nguoi-ha-noi-vat-va-loi-nuoc-doi-mua-di-lam-sang-dau-tuan-ar878987.html" TargetMode="External"/><Relationship Id="rId11" Type="http://schemas.openxmlformats.org/officeDocument/2006/relationships/hyperlink" Target="https://anninhthudo.vn/ha-noi-ngap-sau-sau-tran-mua-lon-toi-13-6-post507594.antd" TargetMode="External"/><Relationship Id="rId53" Type="http://schemas.openxmlformats.org/officeDocument/2006/relationships/hyperlink" Target="https://thanglong.chinhphu.vn/ha-noi-122-diem-ngap-nuoc-trong-do-23-diem-ngap-sau-khong-luu-thong-duoc-103251007111035109.htm" TargetMode="External"/><Relationship Id="rId149" Type="http://schemas.openxmlformats.org/officeDocument/2006/relationships/hyperlink" Target="https://vtv.vn/xa-hoi/ha-noi-nhieu-tuyen-duong-ngap-lut-giao-thong-te-liet-vao-dau-gio-sang-20240724091556798.ht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qdnd.vn/xa-hoi/tin-tuc/ha-noi-anh-huong-cua-hoan-luu-bao-so-2-nhieu-tuyen-pho-ngap-ung-sau-786588" TargetMode="External"/><Relationship Id="rId21" Type="http://schemas.openxmlformats.org/officeDocument/2006/relationships/hyperlink" Target="https://www.sggp.org.vn/ha-noi-mua-to-gay-ngap-co-noi-mat-dien-post739533.html" TargetMode="External"/><Relationship Id="rId42" Type="http://schemas.openxmlformats.org/officeDocument/2006/relationships/hyperlink" Target="https://laodong.vn/xa-hoi/ha-noi-mua-ngap-nhieu-tuyen-duong-cong-nhan-dam-minh-xu-ly-thoat-nuoc-1080018.ldo" TargetMode="External"/><Relationship Id="rId63" Type="http://schemas.openxmlformats.org/officeDocument/2006/relationships/hyperlink" Target="https://baotintuc.vn/van-de-quan-tam/mua-to-canh-bao-ngap-ung-tren-nhieu-tuyen-pho-noi-thanh-ha-noi-20240823220834809.htm" TargetMode="External"/><Relationship Id="rId84" Type="http://schemas.openxmlformats.org/officeDocument/2006/relationships/hyperlink" Target="https://kinhtedothi.vn/ha-noi-mua-to-xoi-xa-nhieu-tuyen-duong-ngap-sau.html" TargetMode="External"/><Relationship Id="rId138" Type="http://schemas.openxmlformats.org/officeDocument/2006/relationships/hyperlink" Target="https://baotintuc.vn/thoi-su/ha-noi-pho-bui-xuong-trach-ngap-menh-mong-nuoc-tran-vao-nha-dan-20240822232830947.htm" TargetMode="External"/><Relationship Id="rId107" Type="http://schemas.openxmlformats.org/officeDocument/2006/relationships/hyperlink" Target="https://vtcnews.vn/mua-lon-chieu-toi-nhieu-tuyen-pho-ha-noi-ngap-sau-ar870581.html" TargetMode="External"/><Relationship Id="rId11" Type="http://schemas.openxmlformats.org/officeDocument/2006/relationships/hyperlink" Target="https://vnexpress.net/nhieu-tuyen-pho-ha-noi-ngap-sau-sau-mua-lon-4636178.html" TargetMode="External"/><Relationship Id="rId32" Type="http://schemas.openxmlformats.org/officeDocument/2006/relationships/hyperlink" Target="https://tuoitre.vn/mua-xuyen-dem-duong-pho-ha-noi-bat-dau-ngap-sau-20251007062802573.htm" TargetMode="External"/><Relationship Id="rId53" Type="http://schemas.openxmlformats.org/officeDocument/2006/relationships/hyperlink" Target="https://danviet.vn/nguoi-dan-khon-kho-song-gan-tuyen-duong-mua-thanh-ao-nang-bui-bay-mu-mit-o-quan-nam-tu-liem-ha-noi-20240806111932319-d1177051.html" TargetMode="External"/><Relationship Id="rId74" Type="http://schemas.openxmlformats.org/officeDocument/2006/relationships/hyperlink" Target="https://vovgiaothong.vn/chong-ngap-cho-ha-noi-d27202.html" TargetMode="External"/><Relationship Id="rId128" Type="http://schemas.openxmlformats.org/officeDocument/2006/relationships/hyperlink" Target="https://kinhtedothi.vn/mua-xoi-xa-ngay-giua-trua-nhieu-tuyen-pho-cua-ha-noi-ngap-sau.html" TargetMode="External"/><Relationship Id="rId149" Type="http://schemas.openxmlformats.org/officeDocument/2006/relationships/table" Target="../tables/table4.xml"/><Relationship Id="rId5" Type="http://schemas.openxmlformats.org/officeDocument/2006/relationships/hyperlink" Target="https://hanoimoi.vn/ha-noi-mua-lon-gay-ung-ngap-nhieu-tuyen-pho-cay-bat-goc-de-trung-o-to-520866.html/https:/tuoitre.vn/tu-chieu-toi-5-7-ha-noi-mua-nhu-trut-nuoc-co-noi-250mm-duong-ngap-cay-do-xe-ket-20220705175500419.htm" TargetMode="External"/><Relationship Id="rId95" Type="http://schemas.openxmlformats.org/officeDocument/2006/relationships/hyperlink" Target="https://laodong.vn/moi-truong/nhieu-tuyen-duong-van-chua-the-luu-thong-ha-noi-mo-cua-phai-cac-ho-dieu-hoa-thoat-nuoc-1564043.ldo" TargetMode="External"/><Relationship Id="rId22" Type="http://schemas.openxmlformats.org/officeDocument/2006/relationships/hyperlink" Target="https://tuoitre.vn/mua-lon-nhieu-duong-pho-ha-noi-thanh-song-xe-co-hon-loan-20240515175013165.htm" TargetMode="External"/><Relationship Id="rId27" Type="http://schemas.openxmlformats.org/officeDocument/2006/relationships/hyperlink" Target="https://congthuong.vn/ha-noi-canh-bao-ngap-lut-tu-dem-79-do-bao-so-3-344161.html" TargetMode="External"/><Relationship Id="rId43" Type="http://schemas.openxmlformats.org/officeDocument/2006/relationships/hyperlink" Target="https://nongnghiepmoitruong.vn/nhieu-tuyen-duong-o-ha-noi-ngap-sau-sau-tran-mua-lon-sang-1-5-d751024.html" TargetMode="External"/><Relationship Id="rId48" Type="http://schemas.openxmlformats.org/officeDocument/2006/relationships/hyperlink" Target="https://hanoitimes.vn/super-typhoon-yagi-weakens-to-tropical-depression-heavy-rain-flooding-landslides-expected.593867.html" TargetMode="External"/><Relationship Id="rId64" Type="http://schemas.openxmlformats.org/officeDocument/2006/relationships/hyperlink" Target="https://baotintuc.vn/van-de-quan-tam/mua-to-canh-bao-ngap-ung-tren-nhieu-tuyen-pho-noi-thanh-ha-noi-20240823220834809.htm" TargetMode="External"/><Relationship Id="rId69" Type="http://schemas.openxmlformats.org/officeDocument/2006/relationships/hyperlink" Target="https://laodong.vn/xa-hoi/ha-noi-loay-hoay-xu-ly-ngap-ung-trong-noi-do-828693.ldo" TargetMode="External"/><Relationship Id="rId113" Type="http://schemas.openxmlformats.org/officeDocument/2006/relationships/hyperlink" Target="https://tuoitre.vn/video/truc-tiep-nhieu-tuyen-duong-o-ha-noi-ngap-sau-con-mua-sang-ngay-5-6-162252.htm" TargetMode="External"/><Relationship Id="rId118" Type="http://schemas.openxmlformats.org/officeDocument/2006/relationships/hyperlink" Target="https://www.qdnd.vn/xa-hoi/tin-tuc/ha-noi-anh-huong-cua-hoan-luu-bao-so-2-nhieu-tuyen-pho-ngap-ung-sau-786588" TargetMode="External"/><Relationship Id="rId134" Type="http://schemas.openxmlformats.org/officeDocument/2006/relationships/hyperlink" Target="https://kinhtedothi.vn/ha-noi-mua-to-xoi-xa-nhieu-tuyen-duong-ngap-sau.html" TargetMode="External"/><Relationship Id="rId139" Type="http://schemas.openxmlformats.org/officeDocument/2006/relationships/hyperlink" Target="https://vietnamnet.vn/bao-so-3-yagi-ha-noi-mua-lon-gio-giat-den-dem-canh-bao-ngap-lut-o-noi-thanh-2319473.html" TargetMode="External"/><Relationship Id="rId80" Type="http://schemas.openxmlformats.org/officeDocument/2006/relationships/hyperlink" Target="https://bnews.vn/nhieu-tuyen-pho-ha-noi-lai-ngap-sau-do-mua-lon-keo-dai/307968.html" TargetMode="External"/><Relationship Id="rId85" Type="http://schemas.openxmlformats.org/officeDocument/2006/relationships/hyperlink" Target="https://kinhtedothi.vn/ha-noi-mua-to-xoi-xa-nhieu-tuyen-duong-ngap-sau.html" TargetMode="External"/><Relationship Id="rId150" Type="http://schemas.openxmlformats.org/officeDocument/2006/relationships/table" Target="../tables/table5.xml"/><Relationship Id="rId12" Type="http://schemas.openxmlformats.org/officeDocument/2006/relationships/hyperlink" Target="https://vnexpress.net/nhieu-tuyen-pho-ha-noi-ngap-sau-sau-mua-lon-4636178.html" TargetMode="External"/><Relationship Id="rId17" Type="http://schemas.openxmlformats.org/officeDocument/2006/relationships/hyperlink" Target="https://www.vietnamplus.vn/ha-noi-ngap-sau-tai-nhieu-tuyen-duong-va-khu-do-thi-do-anh-huong-bao-so-2-post966455.vnp" TargetMode="External"/><Relationship Id="rId33" Type="http://schemas.openxmlformats.org/officeDocument/2006/relationships/hyperlink" Target="https://vnexpress.net/ha-noi-mua-lon-nhieu-tuyen-pho-nguy-co-ngap-4948058-tong-thuat.html" TargetMode="External"/><Relationship Id="rId38" Type="http://schemas.openxmlformats.org/officeDocument/2006/relationships/hyperlink" Target="https://tienphong.vn/cap-nhat-54-diem-ngap-sau-o-ha-noi-nguoi-dan-di-chuyen-bang-thuyen-o-my-dinh-post1784727.tpo" TargetMode="External"/><Relationship Id="rId59" Type="http://schemas.openxmlformats.org/officeDocument/2006/relationships/hyperlink" Target="https://tienphong.vn/cap-nhat-54-diem-ngap-sau-o-ha-noi-nguoi-dan-di-chuyen-bang-thuyen-o-my-dinh-post1784727.tpo" TargetMode="External"/><Relationship Id="rId103" Type="http://schemas.openxmlformats.org/officeDocument/2006/relationships/hyperlink" Target="https://vov.vn/xa-hoi/mua-lon-keo-dai-nguoi-ha-noi-lai-bi-bom-loi-nuoc-tren-duong-pho-post1109872.vov" TargetMode="External"/><Relationship Id="rId108" Type="http://schemas.openxmlformats.org/officeDocument/2006/relationships/hyperlink" Target="https://kinhtedothi.vn/ha-noi-mua-to-xoi-xa-nhieu-tuyen-duong-ngap-sau.html" TargetMode="External"/><Relationship Id="rId124" Type="http://schemas.openxmlformats.org/officeDocument/2006/relationships/hyperlink" Target="https://kinhtedothi.vn/ha-noi-giao-thong-nhieu-noi-dinh-tre-do-tran-mua-lon-chieu-29-5.html" TargetMode="External"/><Relationship Id="rId129" Type="http://schemas.openxmlformats.org/officeDocument/2006/relationships/hyperlink" Target="https://kinhtedothi.vn/mua-xoi-xa-ngay-giua-trua-nhieu-tuyen-pho-cua-ha-noi-ngap-sau.html" TargetMode="External"/><Relationship Id="rId54" Type="http://schemas.openxmlformats.org/officeDocument/2006/relationships/hyperlink" Target="https://vnexpress.net/hon-40-diem-ngap-tai-ha-noi-sau-mua-lon-4793231.html" TargetMode="External"/><Relationship Id="rId70" Type="http://schemas.openxmlformats.org/officeDocument/2006/relationships/hyperlink" Target="https://laodong.vn/xa-hoi/ha-noi-loay-hoay-xu-ly-ngap-ung-trong-noi-do-828693.ldo" TargetMode="External"/><Relationship Id="rId75" Type="http://schemas.openxmlformats.org/officeDocument/2006/relationships/hyperlink" Target="https://vovgiaothong.vn/chong-ngap-cho-ha-noi-d27202.html" TargetMode="External"/><Relationship Id="rId91" Type="http://schemas.openxmlformats.org/officeDocument/2006/relationships/hyperlink" Target="https://nhiepanhdoisong.vn/ha-noi-mua-lon-gay-ngap-ung-nhieu-tuyen-duong-giao-thong-un-tac-cuc-bo-15134.html" TargetMode="External"/><Relationship Id="rId96" Type="http://schemas.openxmlformats.org/officeDocument/2006/relationships/hyperlink" Target="https://www.thiennhien.net/2022/05/29/mua-lon-hang-loat-tuyen-pho-o-ha-noi-ngap-nang/" TargetMode="External"/><Relationship Id="rId140" Type="http://schemas.openxmlformats.org/officeDocument/2006/relationships/hyperlink" Target="https://kinhtedothi.vn/cap-nhat-sieu-bao-yagi-can-quet-ha-noi-hang-tram-cay-do-ngap-lut.html" TargetMode="External"/><Relationship Id="rId145" Type="http://schemas.openxmlformats.org/officeDocument/2006/relationships/hyperlink" Target="https://vietnamnet.vn/ha-noi-mua-sam-sap-tu-sang-den-toi-van-ngap-lut-banh-xe-463082.html?utm_source=chatgpt.com" TargetMode="External"/><Relationship Id="rId1" Type="http://schemas.openxmlformats.org/officeDocument/2006/relationships/hyperlink" Target="https://vietnamnet.vn/mua-lon-loat-tuyen-pho-o-ha-noi-chim-trong-bien-nuoc-2024527.html" TargetMode="External"/><Relationship Id="rId6" Type="http://schemas.openxmlformats.org/officeDocument/2006/relationships/hyperlink" Target="https://hanoimoi.vn/ha-noi-mua-lon-gay-ung-ngap-nhieu-tuyen-pho-cay-bat-goc-de-trung-o-to-520866.html" TargetMode="External"/><Relationship Id="rId23" Type="http://schemas.openxmlformats.org/officeDocument/2006/relationships/hyperlink" Target="https://vtcnews.vn/nguoi-ha-noi-vat-va-loi-nuoc-doi-mua-di-lam-sang-dau-tuan-ar878987.html" TargetMode="External"/><Relationship Id="rId28" Type="http://schemas.openxmlformats.org/officeDocument/2006/relationships/hyperlink" Target="https://congthuong.vn/ha-noi-canh-bao-ngap-lut-tu-dem-79-do-bao-so-3-344161.html" TargetMode="External"/><Relationship Id="rId49" Type="http://schemas.openxmlformats.org/officeDocument/2006/relationships/hyperlink" Target="https://vtv.vn/xa-hoi/ha-noi-nhieu-tuyen-duong-ngap-lut-giao-thong-te-liet-vao-dau-gio-sang-20240724091556798.htm" TargetMode="External"/><Relationship Id="rId114" Type="http://schemas.openxmlformats.org/officeDocument/2006/relationships/hyperlink" Target="https://tuoitre.vn/video/truc-tiep-nhieu-tuyen-duong-o-ha-noi-ngap-sau-con-mua-sang-ngay-5-6-162252.htm" TargetMode="External"/><Relationship Id="rId119" Type="http://schemas.openxmlformats.org/officeDocument/2006/relationships/hyperlink" Target="https://tuoitre.vn/ha-noi-rut-bao-dong-2-tren-song-hong-song-duong-20240913082602782.htm" TargetMode="External"/><Relationship Id="rId44" Type="http://schemas.openxmlformats.org/officeDocument/2006/relationships/hyperlink" Target="https://vtv.vn/xa-hoi/mua-lon-gay-ngap-ung-cuc-bo-tai-ha-noi-20240520061735155.htm" TargetMode="External"/><Relationship Id="rId60" Type="http://schemas.openxmlformats.org/officeDocument/2006/relationships/hyperlink" Target="https://kinhtedothi.vn/ha-noi-giao-thong-nhieu-noi-dinh-tre-do-tran-mua-lon-chieu-29-5.html" TargetMode="External"/><Relationship Id="rId65" Type="http://schemas.openxmlformats.org/officeDocument/2006/relationships/hyperlink" Target="https://baotintuc.vn/van-de-quan-tam/mua-to-canh-bao-ngap-ung-tren-nhieu-tuyen-pho-noi-thanh-ha-noi-20240823220834809.htm" TargetMode="External"/><Relationship Id="rId81" Type="http://schemas.openxmlformats.org/officeDocument/2006/relationships/hyperlink" Target="https://bnews.vn/nhieu-tuyen-pho-ha-noi-lai-ngap-sau-do-mua-lon-keo-dai/307968.html" TargetMode="External"/><Relationship Id="rId86" Type="http://schemas.openxmlformats.org/officeDocument/2006/relationships/hyperlink" Target="https://kinhtedothi.vn/ha-noi-mua-to-xoi-xa-nhieu-tuyen-duong-ngap-sau.html" TargetMode="External"/><Relationship Id="rId130" Type="http://schemas.openxmlformats.org/officeDocument/2006/relationships/hyperlink" Target="https://vietnamnet.vn/khu-dan-cu-ha-noi-bi-ngap-sau-sau-tran-mua-giua-trua-2176321.html" TargetMode="External"/><Relationship Id="rId135" Type="http://schemas.openxmlformats.org/officeDocument/2006/relationships/hyperlink" Target="https://htv.com.vn/ha-noi-pho-trieu-khuc-ung-ngap-nguoi-dan-vat-va-muu-sinh-222251002101351473.htm" TargetMode="External"/><Relationship Id="rId151" Type="http://schemas.openxmlformats.org/officeDocument/2006/relationships/table" Target="../tables/table6.xml"/><Relationship Id="rId13" Type="http://schemas.openxmlformats.org/officeDocument/2006/relationships/hyperlink" Target="https://chinhsachcuocsong.vnanet.vn/mua-lon-gay-ngap-ung-mot-so-tuyen-duong-tai-ha-noi/25283.html" TargetMode="External"/><Relationship Id="rId18" Type="http://schemas.openxmlformats.org/officeDocument/2006/relationships/hyperlink" Target="https://kinhtedothi.vn/ha-noi-mua-to-xoi-xa-nhieu-tuyen-duong-ngap-sau.html" TargetMode="External"/><Relationship Id="rId39" Type="http://schemas.openxmlformats.org/officeDocument/2006/relationships/hyperlink" Target="https://baotintuc.vn/van-de-quan-tam/mua-to-canh-bao-ngap-ung-tren-nhieu-tuyen-pho-noi-thanh-ha-noi-20240823220834809.htm" TargetMode="External"/><Relationship Id="rId109" Type="http://schemas.openxmlformats.org/officeDocument/2006/relationships/hyperlink" Target="https://vnexpress.net/pho-co-ha-noi-ngap-sau-tran-mua-lon-4781156.html" TargetMode="External"/><Relationship Id="rId34" Type="http://schemas.openxmlformats.org/officeDocument/2006/relationships/hyperlink" Target="https://news.tuoitre.vn/downtown-streets-drowned-by-drawn-out-downpour-in-hanoi-10379837.htm" TargetMode="External"/><Relationship Id="rId50" Type="http://schemas.openxmlformats.org/officeDocument/2006/relationships/hyperlink" Target="https://kinhtedothi.vn/quan-nam-tu-liem-nhieu-diem-ngap-san-sang-phuong-an-so-tan-dan" TargetMode="External"/><Relationship Id="rId55" Type="http://schemas.openxmlformats.org/officeDocument/2006/relationships/hyperlink" Target="https://nguoidothi.net.vn/ha-noi-bao-gio-het-ngap-lut-ben-vung-41139.html" TargetMode="External"/><Relationship Id="rId76" Type="http://schemas.openxmlformats.org/officeDocument/2006/relationships/hyperlink" Target="https://bnews.vn/nhieu-tuyen-pho-ha-noi-lai-ngap-sau-do-mua-lon-keo-dai/307968.html" TargetMode="External"/><Relationship Id="rId97" Type="http://schemas.openxmlformats.org/officeDocument/2006/relationships/hyperlink" Target="https://laodong.vn/xa-hoi/ha-noi-mua-ngap-nhieu-tuyen-duong-cong-nhan-dam-minh-xu-ly-thoat-nuoc-1080018.ldo" TargetMode="External"/><Relationship Id="rId104" Type="http://schemas.openxmlformats.org/officeDocument/2006/relationships/hyperlink" Target="https://vtv.vn/xa-hoi/mua-lon-gay-ngap-ung-cuc-bo-tai-ha-noi-20240520061735155.htm" TargetMode="External"/><Relationship Id="rId120" Type="http://schemas.openxmlformats.org/officeDocument/2006/relationships/hyperlink" Target="https://vnanet.vn/vi/anh/anh-thoi-su-trong-nuoc-1014/mua-lon-chieu-178-gay-ngap-cuc-bo-nhieu-tuyen-pho-ha-noi-4967394.html" TargetMode="External"/><Relationship Id="rId125" Type="http://schemas.openxmlformats.org/officeDocument/2006/relationships/hyperlink" Target="https://kinhtedothi.vn/ha-noi-giao-thong-nhieu-noi-dinh-tre-do-tran-mua-lon-chieu-29-5.html" TargetMode="External"/><Relationship Id="rId141" Type="http://schemas.openxmlformats.org/officeDocument/2006/relationships/hyperlink" Target="https://kinhtedothi.vn/sau-tran-mua-lon-ha-noi-ngap-sau-tai-mot-so-khu-vuc-noi-thanh-394015" TargetMode="External"/><Relationship Id="rId146" Type="http://schemas.openxmlformats.org/officeDocument/2006/relationships/hyperlink" Target="https://tuoitre.vn/mua-xuyen-dem-duong-pho-ha-noi-bat-dau-ngap-sau-20251007062802573.htm" TargetMode="External"/><Relationship Id="rId7" Type="http://schemas.openxmlformats.org/officeDocument/2006/relationships/hyperlink" Target="https://hanoimoi.vn/ha-noi-mua-lon-gay-ung-ngap-nhieu-tuyen-pho-cay-bat-goc-de-trung-o-to-520866.html" TargetMode="External"/><Relationship Id="rId71" Type="http://schemas.openxmlformats.org/officeDocument/2006/relationships/hyperlink" Target="https://laodong.vn/xa-hoi/ha-noi-loay-hoay-xu-ly-ngap-ung-trong-noi-do-828693.ldo" TargetMode="External"/><Relationship Id="rId92" Type="http://schemas.openxmlformats.org/officeDocument/2006/relationships/hyperlink" Target="https://nhiepanhdoisong.vn/ha-noi-mua-lon-gay-ngap-ung-nhieu-tuyen-duong-giao-thong-un-tac-cuc-bo-15134.html" TargetMode="External"/><Relationship Id="rId2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29" Type="http://schemas.openxmlformats.org/officeDocument/2006/relationships/hyperlink" Target="https://tuoitre.vn/mua-lon-vao-gio-tan-tam-nhieu-tuyen-pho-ha-noi-ngap-sau-un-tac-20250630181157935.htm" TargetMode="External"/><Relationship Id="rId24" Type="http://schemas.openxmlformats.org/officeDocument/2006/relationships/hyperlink" Target="https://www.vietnamplus.vn/ha-noi-ngap-sau-tai-nhieu-tuyen-duong-va-khu-do-thi-do-anh-huong-bao-so-2-post966455.vnp" TargetMode="External"/><Relationship Id="rId40" Type="http://schemas.openxmlformats.org/officeDocument/2006/relationships/hyperlink" Target="https://baotintuc.vn/van-de-quan-tam/mua-to-canh-bao-ngap-ung-tren-nhieu-tuyen-pho-noi-thanh-ha-noi-20240823220834809.htm" TargetMode="External"/><Relationship Id="rId45" Type="http://schemas.openxmlformats.org/officeDocument/2006/relationships/hyperlink" Target="https://kinhtedothi.vn/ha-noi-mua-to-xoi-xa-nhieu-tuyen-duong-ngap-sau.html" TargetMode="External"/><Relationship Id="rId66" Type="http://schemas.openxmlformats.org/officeDocument/2006/relationships/hyperlink" Target="https://baotintuc.vn/van-de-quan-tam/mua-to-canh-bao-ngap-ung-tren-nhieu-tuyen-pho-noi-thanh-ha-noi-20240823220834809.htm" TargetMode="External"/><Relationship Id="rId87" Type="http://schemas.openxmlformats.org/officeDocument/2006/relationships/hyperlink" Target="https://kinhtedothi.vn/ha-noi-mua-to-xoi-xa-nhieu-tuyen-duong-ngap-sau.html" TargetMode="External"/><Relationship Id="rId110" Type="http://schemas.openxmlformats.org/officeDocument/2006/relationships/hyperlink" Target="https://thanglong.chinhphu.vn/ha-noi-ung-truc-giai-thoat-nuoc-kip-thoi-trong-ngay-mua-bao-103240513104127317.htm" TargetMode="External"/><Relationship Id="rId115" Type="http://schemas.openxmlformats.org/officeDocument/2006/relationships/hyperlink" Target="https://tuoitre.vn/video/truc-tiep-nhieu-tuyen-duong-o-ha-noi-ngap-sau-con-mua-sang-ngay-5-6-162252.htm" TargetMode="External"/><Relationship Id="rId131" Type="http://schemas.openxmlformats.org/officeDocument/2006/relationships/hyperlink" Target="https://baomoi.com/nhieu-tuyen-pho-ha-noi-lai-ngap-sau-do-mua-lon-keo-dai-c47058895.epi" TargetMode="External"/><Relationship Id="rId136" Type="http://schemas.openxmlformats.org/officeDocument/2006/relationships/hyperlink" Target="https://baotintuc.vn/anh/nhieu-tuyen-duong-ha-noi-ngap-sau-do-anh-huong-mua-dong-cua-bao-so-2-20240724084929154.htm" TargetMode="External"/><Relationship Id="rId61" Type="http://schemas.openxmlformats.org/officeDocument/2006/relationships/hyperlink" Target="https://kinhtedothi.vn/ha-noi-giao-thong-nhieu-noi-dinh-tre-do-tran-mua-lon-chieu-29-5.html" TargetMode="External"/><Relationship Id="rId82" Type="http://schemas.openxmlformats.org/officeDocument/2006/relationships/hyperlink" Target="https://bnews.vn/nhieu-tuyen-pho-ha-noi-lai-ngap-sau-do-mua-lon-keo-dai/307968.html" TargetMode="External"/><Relationship Id="rId19" Type="http://schemas.openxmlformats.org/officeDocument/2006/relationships/hyperlink" Target="https://znews.vn/mua-lon-chieu-toi-nhieu-tuyen-pho-ha-noi-ngap-sau-post1474652.html" TargetMode="External"/><Relationship Id="rId14" Type="http://schemas.openxmlformats.org/officeDocument/2006/relationships/hyperlink" Target="https://chinhsachcuocsong.vnanet.vn/mua-lon-gay-ngap-ung-mot-so-tuyen-duong-tai-ha-noi/25283.html" TargetMode="External"/><Relationship Id="rId30" Type="http://schemas.openxmlformats.org/officeDocument/2006/relationships/hyperlink" Target="https://nongnghiepmoitruong.vn/nhieu-tuyen-pho-ha-noi-ngap-sau-sau-mua-lon-d769635.html" TargetMode="External"/><Relationship Id="rId35" Type="http://schemas.openxmlformats.org/officeDocument/2006/relationships/hyperlink" Target="https://tienphong.vn/cap-nhat-54-diem-ngap-sau-o-ha-noi-nguoi-dan-di-chuyen-bang-thuyen-o-my-dinh-post1784727.tpo" TargetMode="External"/><Relationship Id="rId56" Type="http://schemas.openxmlformats.org/officeDocument/2006/relationships/hyperlink" Target="https://nguoidothi.net.vn/ha-noi-bao-gio-het-ngap-lut-ben-vung-41139.html" TargetMode="External"/><Relationship Id="rId77" Type="http://schemas.openxmlformats.org/officeDocument/2006/relationships/hyperlink" Target="https://bnews.vn/nhieu-tuyen-pho-ha-noi-lai-ngap-sau-do-mua-lon-keo-dai/307968.html" TargetMode="External"/><Relationship Id="rId100" Type="http://schemas.openxmlformats.org/officeDocument/2006/relationships/hyperlink" Target="https://tuoitre.vn/duong-pho-ha-noi-ngap-lenh-lang-sau-con-mua-lon-dan-phai-loi-ca-tren-via-he-20230731162830663.htm" TargetMode="External"/><Relationship Id="rId105" Type="http://schemas.openxmlformats.org/officeDocument/2006/relationships/hyperlink" Target="https://thanglong.chinhphu.vn/ha-noi-122-diem-ngap-nuoc-trong-do-23-diem-ngap-sau-khong-luu-thong-duoc-103251007111035109.htm" TargetMode="External"/><Relationship Id="rId126" Type="http://schemas.openxmlformats.org/officeDocument/2006/relationships/hyperlink" Target="https://kinhtedothi.vn/duong-pho-ha-noi-ngap-ung-trong-con-mua-lon-toi-13-6.html" TargetMode="External"/><Relationship Id="rId147" Type="http://schemas.openxmlformats.org/officeDocument/2006/relationships/hyperlink" Target="https://tuoitre.vn/mua-xuyen-dem-duong-pho-ha-noi-bat-dau-ngap-sau-20251007062802573.htm" TargetMode="External"/><Relationship Id="rId8" Type="http://schemas.openxmlformats.org/officeDocument/2006/relationships/hyperlink" Target="https://hanoimoi.vn/ha-noi-mua-lon-gay-ung-ngap-nhieu-tuyen-pho-cay-bat-goc-de-trung-o-to-520866.html" TargetMode="External"/><Relationship Id="rId51" Type="http://schemas.openxmlformats.org/officeDocument/2006/relationships/hyperlink" Target="https://kinhtedothi.vn/quan-nam-tu-liem-nhieu-diem-ngap-san-sang-phuong-an-so-tan-dan" TargetMode="External"/><Relationship Id="rId72" Type="http://schemas.openxmlformats.org/officeDocument/2006/relationships/hyperlink" Target="https://vovgiaothong.vn/chong-ngap-cho-ha-noi-d27202.html" TargetMode="External"/><Relationship Id="rId93" Type="http://schemas.openxmlformats.org/officeDocument/2006/relationships/hyperlink" Target="https://laodong.vn/moi-truong/nhieu-tuyen-duong-van-chua-the-luu-thong-ha-noi-mo-cua-phai-cac-ho-dieu-hoa-thoat-nuoc-1564043.ldo" TargetMode="External"/><Relationship Id="rId98" Type="http://schemas.openxmlformats.org/officeDocument/2006/relationships/hyperlink" Target="https://vnexpress.net/nhieu-tuyen-pho-ha-noi-ngap-sau-sau-mua-lon-4636178.html" TargetMode="External"/><Relationship Id="rId121" Type="http://schemas.openxmlformats.org/officeDocument/2006/relationships/hyperlink" Target="https://hanoimoi.vn/mua-lon-gay-ung-ngap-cuc-bo-tren-nhieu-duong-pho-ha-noi-506767.html" TargetMode="External"/><Relationship Id="rId142" Type="http://schemas.openxmlformats.org/officeDocument/2006/relationships/hyperlink" Target="https://vnexpress.net/ha-noi-mua-lon-nuoc-ngap-lut-banh-xe-4469404.html" TargetMode="External"/><Relationship Id="rId3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25" Type="http://schemas.openxmlformats.org/officeDocument/2006/relationships/hyperlink" Target="https://www.vietnamplus.vn/ha-noi-ngap-sau-tai-nhieu-tuyen-duong-va-khu-do-thi-do-anh-huong-bao-so-2-post966455.vnp" TargetMode="External"/><Relationship Id="rId46" Type="http://schemas.openxmlformats.org/officeDocument/2006/relationships/hyperlink" Target="https://hanoitimes.vn/super-typhoon-yagi-weakens-to-tropical-depression-heavy-rain-flooding-landslides-expected.593867.html" TargetMode="External"/><Relationship Id="rId67" Type="http://schemas.openxmlformats.org/officeDocument/2006/relationships/hyperlink" Target="https://laodong.vn/xa-hoi/ha-noi-mua-ngap-nhieu-tuyen-duong-cong-nhan-dam-minh-xu-ly-thoat-nuoc-1080018.ldo" TargetMode="External"/><Relationship Id="rId116" Type="http://schemas.openxmlformats.org/officeDocument/2006/relationships/hyperlink" Target="https://laodong.vn/moi-truong/ha-noi-mua-rat-to-du-bao-nhung-tuyen-duong-nao-ngap-sau-1370429.ldo" TargetMode="External"/><Relationship Id="rId137" Type="http://schemas.openxmlformats.org/officeDocument/2006/relationships/hyperlink" Target="https://dantocphattrien.vietnamnet.vn/anh-huong-con-bao-so-2-nhieu-tuyen-pho-ha-noi-ngap-sau-1721739293263.htm" TargetMode="External"/><Relationship Id="rId20" Type="http://schemas.openxmlformats.org/officeDocument/2006/relationships/hyperlink" Target="https://kinhtedothi.vn/ha-noi-mua-to-xoi-xa-nhieu-tuyen-duong-ngap-sau.html" TargetMode="External"/><Relationship Id="rId41" Type="http://schemas.openxmlformats.org/officeDocument/2006/relationships/hyperlink" Target="https://laodong.vn/xa-hoi/ha-noi-mua-ngap-nhieu-tuyen-duong-cong-nhan-dam-minh-xu-ly-thoat-nuoc-1080018.ldo" TargetMode="External"/><Relationship Id="rId62" Type="http://schemas.openxmlformats.org/officeDocument/2006/relationships/hyperlink" Target="https://baotintuc.vn/van-de-quan-tam/mua-to-canh-bao-ngap-ung-tren-nhieu-tuyen-pho-noi-thanh-ha-noi-20240823220834809.htm" TargetMode="External"/><Relationship Id="rId83" Type="http://schemas.openxmlformats.org/officeDocument/2006/relationships/hyperlink" Target="https://kinhtedothi.vn/ha-noi-mua-to-xoi-xa-nhieu-tuyen-duong-ngap-sau.html" TargetMode="External"/><Relationship Id="rId88" Type="http://schemas.openxmlformats.org/officeDocument/2006/relationships/hyperlink" Target="https://baotintuc.vn/van-de-quan-tam/mua-to-canh-bao-ngap-ung-tren-nhieu-tuyen-pho-noi-thanh-ha-noi-20240823220834809.htm" TargetMode="External"/><Relationship Id="rId111" Type="http://schemas.openxmlformats.org/officeDocument/2006/relationships/hyperlink" Target="https://thanglong.chinhphu.vn/ha-noi-ung-truc-giai-thoat-nuoc-kip-thoi-trong-ngay-mua-bao-103240513104127317.htm" TargetMode="External"/><Relationship Id="rId132" Type="http://schemas.openxmlformats.org/officeDocument/2006/relationships/hyperlink" Target="https://thanhnien.vn/ha-noi-mua-cuc-to-duong-pho-chim-trong-bien-nuoc-xe-chet-may-la-liet-185230928102251253.htm" TargetMode="External"/><Relationship Id="rId15" Type="http://schemas.openxmlformats.org/officeDocument/2006/relationships/hyperlink" Target="https://vnexpress.net/nguoi-ha-noi-boi-di-lam-ngay-mua-4658435.html" TargetMode="External"/><Relationship Id="rId36" Type="http://schemas.openxmlformats.org/officeDocument/2006/relationships/hyperlink" Target="https://tuoitre.vn/vi-sao-loat-tuyen-pho-ha-noi-ngap-trong-bien-nuoc-sang-26-8-20250826121609981.htm" TargetMode="External"/><Relationship Id="rId57" Type="http://schemas.openxmlformats.org/officeDocument/2006/relationships/hyperlink" Target="https://nguoidothi.net.vn/ha-noi-bao-gio-het-ngap-lut-ben-vung-41139.html" TargetMode="External"/><Relationship Id="rId106" Type="http://schemas.openxmlformats.org/officeDocument/2006/relationships/hyperlink" Target="https://thanglong.chinhphu.vn/ha-noi-122-diem-ngap-nuoc-trong-do-23-diem-ngap-sau-khong-luu-thong-duoc-103251007111035109.htm" TargetMode="External"/><Relationship Id="rId127" Type="http://schemas.openxmlformats.org/officeDocument/2006/relationships/hyperlink" Target="https://anninhthudo.vn/ha-noi-ngap-sau-sau-tran-mua-lon-toi-13-6-post507594.antd" TargetMode="External"/><Relationship Id="rId10" Type="http://schemas.openxmlformats.org/officeDocument/2006/relationships/hyperlink" Target="https://dantri.com.vn/thoi-su/ha-noi-ngap-nang-sau-mua-lon-nguoi-va-xe-boi-tren-pho-20230620194720272.htm" TargetMode="External"/><Relationship Id="rId31" Type="http://schemas.openxmlformats.org/officeDocument/2006/relationships/hyperlink" Target="https://kinhtedothi.vn/ha-noi-mua-trang-troi-ngap-ung-nhieu-tuyen-pho.821198.html" TargetMode="External"/><Relationship Id="rId52" Type="http://schemas.openxmlformats.org/officeDocument/2006/relationships/hyperlink" Target="https://kinhtedothi.vn/quan-nam-tu-liem-nhieu-diem-ngap-san-sang-phuong-an-so-tan-dan" TargetMode="External"/><Relationship Id="rId73" Type="http://schemas.openxmlformats.org/officeDocument/2006/relationships/hyperlink" Target="https://vovgiaothong.vn/chong-ngap-cho-ha-noi-d27202.html" TargetMode="External"/><Relationship Id="rId78" Type="http://schemas.openxmlformats.org/officeDocument/2006/relationships/hyperlink" Target="https://bnews.vn/nhieu-tuyen-pho-ha-noi-lai-ngap-sau-do-mua-lon-keo-dai/307968.html" TargetMode="External"/><Relationship Id="rId94" Type="http://schemas.openxmlformats.org/officeDocument/2006/relationships/hyperlink" Target="https://laodong.vn/moi-truong/nhieu-tuyen-duong-van-chua-the-luu-thong-ha-noi-mo-cua-phai-cac-ho-dieu-hoa-thoat-nuoc-1564043.ldo" TargetMode="External"/><Relationship Id="rId99" Type="http://schemas.openxmlformats.org/officeDocument/2006/relationships/hyperlink" Target="https://tuoitre.vn/duong-pho-ha-noi-ngap-lenh-lang-sau-con-mua-lon-dan-phai-loi-ca-tren-via-he-20230731162830663.htm" TargetMode="External"/><Relationship Id="rId101" Type="http://schemas.openxmlformats.org/officeDocument/2006/relationships/hyperlink" Target="https://doisongphapluat.com.vn/nguoi-dan-ha-noi-bi-bom-loi-nuoc-sau-tran-mua-ngay-289-a593004.html" TargetMode="External"/><Relationship Id="rId122" Type="http://schemas.openxmlformats.org/officeDocument/2006/relationships/hyperlink" Target="https://vtv.vn/xa-hoi/mua-lon-chieu-17-8-gay-ngap-cuc-bo-nhieu-tuyen-pho-ha-noi-20200817181932196.htm" TargetMode="External"/><Relationship Id="rId143" Type="http://schemas.openxmlformats.org/officeDocument/2006/relationships/hyperlink" Target="https://nhandan.vn/anh-mua-lon-suot-dem-nhieu-tuyen-duong-o-ha-noi-ngap-sau-post826312.html" TargetMode="External"/><Relationship Id="rId148" Type="http://schemas.openxmlformats.org/officeDocument/2006/relationships/drawing" Target="../drawings/drawing1.xml"/><Relationship Id="rId4" Type="http://schemas.openxmlformats.org/officeDocument/2006/relationships/hyperlink" Target="https://laodong.vn/photo/ha-noi-mua-nhu-trut-nuoc-nguoi-dan-chat-vat-boi-qua-diem-ngap-1064472.ldo/https:/tuoitre.vn/tu-chieu-toi-5-7-ha-noi-mua-nhu-trut-nuoc-co-noi-250mm-duong-ngap-cay-do-xe-ket-20220705175500419.htm" TargetMode="External"/><Relationship Id="rId9" Type="http://schemas.openxmlformats.org/officeDocument/2006/relationships/hyperlink" Target="https://hanoimoi.vn/ha-noi-mua-lon-gay-ung-ngap-nhieu-tuyen-pho-cay-bat-goc-de-trung-o-to-520866.html" TargetMode="External"/><Relationship Id="rId26" Type="http://schemas.openxmlformats.org/officeDocument/2006/relationships/hyperlink" Target="https://congthuong.vn/ha-noi-canh-bao-ngap-lut-tu-dem-79-do-bao-so-3-344161.html" TargetMode="External"/><Relationship Id="rId47" Type="http://schemas.openxmlformats.org/officeDocument/2006/relationships/hyperlink" Target="https://hanoitimes.vn/super-typhoon-yagi-weakens-to-tropical-depression-heavy-rain-flooding-landslides-expected.593867.html" TargetMode="External"/><Relationship Id="rId68" Type="http://schemas.openxmlformats.org/officeDocument/2006/relationships/hyperlink" Target="https://laodong.vn/xa-hoi/ha-noi-loay-hoay-xu-ly-ngap-ung-trong-noi-do-828693.ldo" TargetMode="External"/><Relationship Id="rId89" Type="http://schemas.openxmlformats.org/officeDocument/2006/relationships/hyperlink" Target="https://baotintuc.vn/van-de-quan-tam/mua-to-canh-bao-ngap-ung-tren-nhieu-tuyen-pho-noi-thanh-ha-noi-20240823220834809.htm" TargetMode="External"/><Relationship Id="rId112" Type="http://schemas.openxmlformats.org/officeDocument/2006/relationships/hyperlink" Target="https://tuoitre.vn/video/truc-tiep-nhieu-tuyen-duong-o-ha-noi-ngap-sau-con-mua-sang-ngay-5-6-162252.htm" TargetMode="External"/><Relationship Id="rId133" Type="http://schemas.openxmlformats.org/officeDocument/2006/relationships/hyperlink" Target="https://www.qdnd.vn/xa-hoi/tin-tuc/mua-lon-gay-nguy-co-ngap-lut-o-nhieu-noi-tai-ha-noi-744666" TargetMode="External"/><Relationship Id="rId16" Type="http://schemas.openxmlformats.org/officeDocument/2006/relationships/hyperlink" Target="https://vov.vn/xa-hoi/mua-lon-dau-gio-sang-nhieu-khu-vuc-tai-ha-noi-ngap-ung-giao-thong-un-tac-post1048950.vov" TargetMode="External"/><Relationship Id="rId37" Type="http://schemas.openxmlformats.org/officeDocument/2006/relationships/hyperlink" Target="https://tuoitre.vn/vi-sao-loat-tuyen-pho-ha-noi-ngap-trong-bien-nuoc-sang-26-8-20250826121609981.htm" TargetMode="External"/><Relationship Id="rId58" Type="http://schemas.openxmlformats.org/officeDocument/2006/relationships/hyperlink" Target="https://tienphong.vn/cap-nhat-54-diem-ngap-sau-o-ha-noi-nguoi-dan-di-chuyen-bang-thuyen-o-my-dinh-post1784727.tpo" TargetMode="External"/><Relationship Id="rId79" Type="http://schemas.openxmlformats.org/officeDocument/2006/relationships/hyperlink" Target="https://bnews.vn/nhieu-tuyen-pho-ha-noi-lai-ngap-sau-do-mua-lon-keo-dai/307968.html" TargetMode="External"/><Relationship Id="rId102" Type="http://schemas.openxmlformats.org/officeDocument/2006/relationships/hyperlink" Target="https://doisongphapluat.com.vn/nguoi-dan-ha-noi-bi-bom-loi-nuoc-sau-tran-mua-ngay-289-a593004.html" TargetMode="External"/><Relationship Id="rId123" Type="http://schemas.openxmlformats.org/officeDocument/2006/relationships/hyperlink" Target="https://dantri.com.vn/thoi-su/ha-noi-pho-co-ngap-sau-cay-do-de-taxi-o-to-boi-o-keangnam-20220529162210671.htm" TargetMode="External"/><Relationship Id="rId144" Type="http://schemas.openxmlformats.org/officeDocument/2006/relationships/hyperlink" Target="https://baotintuc.vn/xa-hoi/ha-noi-mua-lon-ngap-ung-nhieu-noi-cay-gay-do-tiem-an-nguy-hiem-20240908062214470.htm" TargetMode="External"/><Relationship Id="rId90" Type="http://schemas.openxmlformats.org/officeDocument/2006/relationships/hyperlink" Target="https://baotintuc.vn/van-de-quan-tam/mua-to-canh-bao-ngap-ung-tren-nhieu-tuyen-pho-noi-thanh-ha-noi-2024082322083480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78"/>
  <sheetViews>
    <sheetView tabSelected="1" topLeftCell="B1" zoomScale="55" zoomScaleNormal="55" workbookViewId="0">
      <pane ySplit="1" topLeftCell="A347" activePane="bottomLeft" state="frozen"/>
      <selection pane="bottomLeft" activeCell="H351" sqref="H351:J352"/>
    </sheetView>
  </sheetViews>
  <sheetFormatPr defaultColWidth="12.6328125" defaultRowHeight="15" customHeight="1" x14ac:dyDescent="0.35"/>
  <cols>
    <col min="1" max="1" width="19.90625" customWidth="1"/>
    <col min="2" max="2" width="24" customWidth="1"/>
    <col min="3" max="3" width="78.26953125" style="171" customWidth="1"/>
    <col min="4" max="4" width="24.6328125" style="142" customWidth="1"/>
    <col min="5" max="6" width="21.7265625" customWidth="1"/>
    <col min="7" max="7" width="35" customWidth="1"/>
    <col min="8" max="8" width="30.36328125" customWidth="1"/>
    <col min="9" max="9" width="30.36328125" style="191" customWidth="1"/>
    <col min="10" max="10" width="30.36328125" customWidth="1"/>
    <col min="11" max="11" width="27.08984375" customWidth="1"/>
    <col min="12" max="12" width="27.08984375" style="206" customWidth="1"/>
    <col min="13" max="13" width="27.08984375" customWidth="1"/>
    <col min="14" max="14" width="29.90625" bestFit="1" customWidth="1"/>
    <col min="15" max="15" width="255.6328125" bestFit="1" customWidth="1"/>
    <col min="16" max="16" width="32.08984375" hidden="1" customWidth="1"/>
    <col min="17" max="17" width="14.81640625" style="272" bestFit="1" customWidth="1"/>
    <col min="18" max="18" width="22.08984375" customWidth="1"/>
    <col min="19" max="19" width="14.6328125" style="206" bestFit="1" customWidth="1"/>
    <col min="20" max="20" width="14.6328125" bestFit="1" customWidth="1"/>
    <col min="21" max="21" width="21.7265625" bestFit="1" customWidth="1"/>
  </cols>
  <sheetData>
    <row r="1" spans="1:25" ht="56.25" customHeight="1" x14ac:dyDescent="0.3">
      <c r="A1" s="1" t="s">
        <v>0</v>
      </c>
      <c r="B1" s="1" t="s">
        <v>1</v>
      </c>
      <c r="C1" s="143" t="s">
        <v>2</v>
      </c>
      <c r="D1" s="136" t="s">
        <v>3</v>
      </c>
      <c r="E1" s="2" t="s">
        <v>4</v>
      </c>
      <c r="F1" s="273" t="s">
        <v>557</v>
      </c>
      <c r="G1" s="1" t="s">
        <v>5</v>
      </c>
      <c r="H1" s="143" t="s">
        <v>6</v>
      </c>
      <c r="I1" s="184" t="s">
        <v>7</v>
      </c>
      <c r="J1" s="143" t="s">
        <v>485</v>
      </c>
      <c r="K1" s="3" t="s">
        <v>8</v>
      </c>
      <c r="L1" s="203" t="s">
        <v>9</v>
      </c>
      <c r="M1" s="4" t="s">
        <v>10</v>
      </c>
      <c r="N1" s="5" t="s">
        <v>11</v>
      </c>
      <c r="O1" s="1" t="s">
        <v>12</v>
      </c>
      <c r="P1" t="s">
        <v>491</v>
      </c>
      <c r="Q1" s="270" t="s">
        <v>556</v>
      </c>
      <c r="R1" s="274" t="s">
        <v>558</v>
      </c>
      <c r="S1" s="270" t="s">
        <v>559</v>
      </c>
      <c r="T1" s="268" t="s">
        <v>560</v>
      </c>
      <c r="U1" s="268" t="s">
        <v>561</v>
      </c>
      <c r="V1" s="6"/>
      <c r="W1" s="6"/>
      <c r="X1" s="6"/>
      <c r="Y1" s="7"/>
    </row>
    <row r="2" spans="1:25" ht="56.25" customHeight="1" x14ac:dyDescent="0.35">
      <c r="A2" s="8">
        <v>1</v>
      </c>
      <c r="B2" s="8" t="s">
        <v>13</v>
      </c>
      <c r="C2" s="144" t="s">
        <v>14</v>
      </c>
      <c r="D2" s="137">
        <v>44710</v>
      </c>
      <c r="E2" s="9">
        <v>21.025171827926101</v>
      </c>
      <c r="F2" s="9">
        <v>105.795453695586</v>
      </c>
      <c r="G2" s="20">
        <v>12.92</v>
      </c>
      <c r="H2" s="181">
        <v>0.57638888888888884</v>
      </c>
      <c r="I2" s="181">
        <v>0.65972222222222221</v>
      </c>
      <c r="J2" s="175">
        <v>2</v>
      </c>
      <c r="K2" s="10" t="s">
        <v>456</v>
      </c>
      <c r="L2" s="12">
        <v>70</v>
      </c>
      <c r="M2" s="12">
        <v>100</v>
      </c>
      <c r="N2" s="13" t="s">
        <v>469</v>
      </c>
      <c r="O2" s="14" t="s">
        <v>15</v>
      </c>
      <c r="Q2" s="269">
        <v>7.99</v>
      </c>
      <c r="R2" s="213">
        <v>206.36</v>
      </c>
      <c r="S2" s="277">
        <v>6.8</v>
      </c>
      <c r="T2" s="278" t="s">
        <v>468</v>
      </c>
      <c r="U2" s="278" t="s">
        <v>562</v>
      </c>
      <c r="V2" s="15"/>
      <c r="W2" s="15"/>
      <c r="X2" s="15"/>
      <c r="Y2" s="16"/>
    </row>
    <row r="3" spans="1:25" ht="56.25" customHeight="1" x14ac:dyDescent="0.35">
      <c r="A3" s="8">
        <v>2</v>
      </c>
      <c r="B3" s="8" t="s">
        <v>13</v>
      </c>
      <c r="C3" s="144" t="s">
        <v>16</v>
      </c>
      <c r="D3" s="201">
        <v>44785</v>
      </c>
      <c r="E3" s="17">
        <v>21.036659659677401</v>
      </c>
      <c r="F3" s="17">
        <v>105.785331622573</v>
      </c>
      <c r="G3" s="20">
        <v>8.26</v>
      </c>
      <c r="H3" s="181">
        <v>1</v>
      </c>
      <c r="I3" s="181">
        <v>0.20833333333333334</v>
      </c>
      <c r="J3" s="175">
        <v>5</v>
      </c>
      <c r="K3" s="10" t="s">
        <v>456</v>
      </c>
      <c r="L3" s="12">
        <v>50</v>
      </c>
      <c r="M3" s="12">
        <v>200</v>
      </c>
      <c r="N3" s="13" t="s">
        <v>469</v>
      </c>
      <c r="O3" s="14" t="s">
        <v>17</v>
      </c>
      <c r="Q3" s="269">
        <v>44.03</v>
      </c>
      <c r="R3" s="213">
        <v>139.99</v>
      </c>
      <c r="S3" s="277">
        <v>35.700000000000003</v>
      </c>
      <c r="T3" s="278" t="s">
        <v>471</v>
      </c>
      <c r="U3" s="278" t="s">
        <v>562</v>
      </c>
      <c r="V3" s="15"/>
      <c r="W3" s="15"/>
      <c r="X3" s="15"/>
      <c r="Y3" s="16"/>
    </row>
    <row r="4" spans="1:25" ht="56.25" customHeight="1" x14ac:dyDescent="0.35">
      <c r="A4" s="10">
        <v>3</v>
      </c>
      <c r="B4" s="8" t="s">
        <v>13</v>
      </c>
      <c r="C4" s="145" t="s">
        <v>18</v>
      </c>
      <c r="D4" s="201">
        <v>44785</v>
      </c>
      <c r="E4" s="256">
        <v>21.037520000000001</v>
      </c>
      <c r="F4" s="17">
        <v>105.78604</v>
      </c>
      <c r="G4" s="20">
        <v>8.43</v>
      </c>
      <c r="H4" s="181">
        <v>1</v>
      </c>
      <c r="I4" s="181">
        <v>0.20833333333333334</v>
      </c>
      <c r="J4" s="175">
        <v>5</v>
      </c>
      <c r="K4" s="10" t="s">
        <v>456</v>
      </c>
      <c r="L4" s="12">
        <v>50</v>
      </c>
      <c r="M4" s="12">
        <v>200</v>
      </c>
      <c r="N4" s="13" t="s">
        <v>469</v>
      </c>
      <c r="O4" s="18" t="s">
        <v>17</v>
      </c>
      <c r="Q4" s="269">
        <v>44.03</v>
      </c>
      <c r="R4" s="213">
        <v>79.86</v>
      </c>
      <c r="S4" s="277">
        <v>35.700000000000003</v>
      </c>
      <c r="T4" s="278" t="s">
        <v>471</v>
      </c>
      <c r="U4" s="278" t="s">
        <v>562</v>
      </c>
      <c r="V4" s="15"/>
      <c r="W4" s="15"/>
      <c r="X4" s="15"/>
      <c r="Y4" s="16"/>
    </row>
    <row r="5" spans="1:25" ht="56.25" customHeight="1" x14ac:dyDescent="0.35">
      <c r="A5" s="8">
        <v>4</v>
      </c>
      <c r="B5" s="10" t="s">
        <v>13</v>
      </c>
      <c r="C5" s="145" t="s">
        <v>19</v>
      </c>
      <c r="D5" s="137">
        <v>44747</v>
      </c>
      <c r="E5" s="17">
        <v>21.023199999999999</v>
      </c>
      <c r="F5" s="17">
        <v>105.7876</v>
      </c>
      <c r="G5" s="20">
        <v>7.32</v>
      </c>
      <c r="H5" s="180">
        <v>0.72916666666666663</v>
      </c>
      <c r="I5" s="180">
        <v>0.75</v>
      </c>
      <c r="J5" s="20">
        <v>0.5</v>
      </c>
      <c r="K5" s="10" t="s">
        <v>456</v>
      </c>
      <c r="L5" s="20">
        <v>20</v>
      </c>
      <c r="M5" s="20">
        <v>130</v>
      </c>
      <c r="N5" s="21" t="s">
        <v>466</v>
      </c>
      <c r="O5" s="177" t="s">
        <v>20</v>
      </c>
      <c r="Q5" s="269">
        <v>23.29</v>
      </c>
      <c r="R5" s="213">
        <v>260.58</v>
      </c>
      <c r="S5" s="277">
        <v>18.100000000000001</v>
      </c>
      <c r="T5" s="278" t="s">
        <v>471</v>
      </c>
      <c r="U5" s="278" t="s">
        <v>562</v>
      </c>
      <c r="V5" s="15"/>
      <c r="W5" s="15"/>
      <c r="X5" s="15"/>
      <c r="Y5" s="16"/>
    </row>
    <row r="6" spans="1:25" ht="56.25" customHeight="1" x14ac:dyDescent="0.35">
      <c r="A6" s="8">
        <v>5</v>
      </c>
      <c r="B6" s="10" t="s">
        <v>13</v>
      </c>
      <c r="C6" s="145" t="s">
        <v>16</v>
      </c>
      <c r="D6" s="137">
        <v>44747</v>
      </c>
      <c r="E6" s="17">
        <v>21.036659659677401</v>
      </c>
      <c r="F6" s="17">
        <v>105.785331622573</v>
      </c>
      <c r="G6" s="20">
        <v>8.26</v>
      </c>
      <c r="H6" s="180">
        <v>0.72916666666666663</v>
      </c>
      <c r="I6" s="180">
        <v>0.75</v>
      </c>
      <c r="J6" s="20">
        <v>0.5</v>
      </c>
      <c r="K6" s="10" t="s">
        <v>456</v>
      </c>
      <c r="L6" s="20">
        <v>35</v>
      </c>
      <c r="M6" s="20">
        <v>130</v>
      </c>
      <c r="N6" s="21" t="s">
        <v>466</v>
      </c>
      <c r="O6" s="18" t="s">
        <v>20</v>
      </c>
      <c r="Q6" s="269">
        <v>23.29</v>
      </c>
      <c r="R6" s="213">
        <v>139.99</v>
      </c>
      <c r="S6" s="277">
        <v>18.100000000000001</v>
      </c>
      <c r="T6" s="278" t="s">
        <v>471</v>
      </c>
      <c r="U6" s="278" t="s">
        <v>562</v>
      </c>
      <c r="V6" s="15"/>
      <c r="W6" s="15"/>
      <c r="X6" s="15"/>
      <c r="Y6" s="16"/>
    </row>
    <row r="7" spans="1:25" ht="56.25" customHeight="1" x14ac:dyDescent="0.35">
      <c r="A7" s="10">
        <v>6</v>
      </c>
      <c r="B7" s="10" t="s">
        <v>13</v>
      </c>
      <c r="C7" s="145" t="s">
        <v>21</v>
      </c>
      <c r="D7" s="137">
        <v>44747</v>
      </c>
      <c r="E7" s="17">
        <v>21.018240540989002</v>
      </c>
      <c r="F7" s="17">
        <v>105.782186224421</v>
      </c>
      <c r="G7" s="20">
        <v>6.99</v>
      </c>
      <c r="H7" s="180">
        <v>0.72916666666666663</v>
      </c>
      <c r="I7" s="180">
        <v>0.75</v>
      </c>
      <c r="J7" s="20">
        <v>0.5</v>
      </c>
      <c r="K7" s="10" t="s">
        <v>456</v>
      </c>
      <c r="L7" s="20">
        <v>20</v>
      </c>
      <c r="M7" s="20">
        <v>130</v>
      </c>
      <c r="N7" s="21" t="s">
        <v>466</v>
      </c>
      <c r="O7" s="18" t="s">
        <v>20</v>
      </c>
      <c r="Q7" s="269">
        <v>23.29</v>
      </c>
      <c r="R7" s="213">
        <v>21.46</v>
      </c>
      <c r="S7" s="277">
        <v>25.9</v>
      </c>
      <c r="T7" s="278" t="s">
        <v>471</v>
      </c>
      <c r="U7" s="278" t="s">
        <v>562</v>
      </c>
      <c r="V7" s="15"/>
      <c r="W7" s="15"/>
      <c r="X7" s="15"/>
      <c r="Y7" s="16"/>
    </row>
    <row r="8" spans="1:25" ht="56.25" customHeight="1" x14ac:dyDescent="0.35">
      <c r="A8" s="8">
        <v>7</v>
      </c>
      <c r="B8" s="10" t="s">
        <v>13</v>
      </c>
      <c r="C8" s="150" t="s">
        <v>22</v>
      </c>
      <c r="D8" s="137">
        <v>44725</v>
      </c>
      <c r="E8" s="9">
        <v>21.036460000000002</v>
      </c>
      <c r="F8" s="9">
        <v>105.77717</v>
      </c>
      <c r="G8" s="20">
        <v>8.25</v>
      </c>
      <c r="H8" s="180">
        <v>0.82291666666666663</v>
      </c>
      <c r="I8" s="180">
        <v>0.89583333333333337</v>
      </c>
      <c r="J8" s="20">
        <v>0.76</v>
      </c>
      <c r="K8" s="10" t="s">
        <v>456</v>
      </c>
      <c r="L8" s="12">
        <v>40</v>
      </c>
      <c r="M8" s="12">
        <v>61.8</v>
      </c>
      <c r="N8" s="21" t="s">
        <v>466</v>
      </c>
      <c r="O8" s="22" t="s">
        <v>23</v>
      </c>
      <c r="Q8" s="269">
        <v>5.22</v>
      </c>
      <c r="R8" s="213">
        <v>138.47</v>
      </c>
      <c r="S8" s="277">
        <v>53.9</v>
      </c>
      <c r="T8" s="278" t="s">
        <v>563</v>
      </c>
      <c r="U8" s="278" t="s">
        <v>562</v>
      </c>
      <c r="V8" s="15"/>
      <c r="W8" s="15"/>
      <c r="X8" s="15"/>
      <c r="Y8" s="16"/>
    </row>
    <row r="9" spans="1:25" ht="56.25" customHeight="1" x14ac:dyDescent="0.35">
      <c r="A9" s="8">
        <v>8</v>
      </c>
      <c r="B9" s="10" t="s">
        <v>13</v>
      </c>
      <c r="C9" s="144" t="s">
        <v>24</v>
      </c>
      <c r="D9" s="137">
        <v>44725</v>
      </c>
      <c r="E9" s="9">
        <v>21.033241976673999</v>
      </c>
      <c r="F9" s="9">
        <v>105.77889879743501</v>
      </c>
      <c r="G9" s="20">
        <v>7.54</v>
      </c>
      <c r="H9" s="180">
        <v>0.82291666666666663</v>
      </c>
      <c r="I9" s="180">
        <v>0.89583333333333337</v>
      </c>
      <c r="J9" s="20">
        <v>0.85</v>
      </c>
      <c r="K9" s="10" t="s">
        <v>456</v>
      </c>
      <c r="L9" s="12">
        <v>40</v>
      </c>
      <c r="M9" s="12">
        <v>61.8</v>
      </c>
      <c r="N9" s="13" t="s">
        <v>469</v>
      </c>
      <c r="O9" s="22" t="s">
        <v>23</v>
      </c>
      <c r="Q9" s="269">
        <v>5.22</v>
      </c>
      <c r="R9" s="213">
        <v>318.24</v>
      </c>
      <c r="S9" s="277">
        <v>53.9</v>
      </c>
      <c r="T9" s="278" t="s">
        <v>563</v>
      </c>
      <c r="U9" s="278" t="s">
        <v>562</v>
      </c>
      <c r="V9" s="15"/>
      <c r="W9" s="15"/>
      <c r="X9" s="15"/>
      <c r="Y9" s="16"/>
    </row>
    <row r="10" spans="1:25" ht="56.25" customHeight="1" x14ac:dyDescent="0.35">
      <c r="A10" s="10">
        <v>9</v>
      </c>
      <c r="B10" s="8" t="s">
        <v>13</v>
      </c>
      <c r="C10" s="144" t="s">
        <v>19</v>
      </c>
      <c r="D10" s="137">
        <v>43893</v>
      </c>
      <c r="E10" s="9">
        <v>21.023199999999999</v>
      </c>
      <c r="F10" s="9">
        <v>105.7876</v>
      </c>
      <c r="G10" s="20">
        <v>7.26</v>
      </c>
      <c r="H10" s="180">
        <v>0.58333333333333337</v>
      </c>
      <c r="I10" s="180">
        <v>0.67708333333333337</v>
      </c>
      <c r="J10" s="20">
        <v>2.25</v>
      </c>
      <c r="K10" s="10" t="s">
        <v>456</v>
      </c>
      <c r="L10" s="12">
        <v>50</v>
      </c>
      <c r="M10" s="12">
        <v>40</v>
      </c>
      <c r="N10" s="21" t="s">
        <v>466</v>
      </c>
      <c r="O10" s="178" t="s">
        <v>25</v>
      </c>
      <c r="Q10" s="269">
        <v>15.06</v>
      </c>
      <c r="R10" s="213">
        <v>260.58</v>
      </c>
      <c r="S10" s="277">
        <v>22.9</v>
      </c>
      <c r="T10" s="278" t="s">
        <v>471</v>
      </c>
      <c r="U10" s="278" t="s">
        <v>562</v>
      </c>
      <c r="V10" s="15"/>
      <c r="W10" s="15"/>
      <c r="X10" s="15"/>
      <c r="Y10" s="16"/>
    </row>
    <row r="11" spans="1:25" ht="56.25" customHeight="1" x14ac:dyDescent="0.35">
      <c r="A11" s="8">
        <v>10</v>
      </c>
      <c r="B11" s="8" t="s">
        <v>13</v>
      </c>
      <c r="C11" s="144" t="s">
        <v>24</v>
      </c>
      <c r="D11" s="137">
        <v>43893</v>
      </c>
      <c r="E11" s="9">
        <v>21.033241976673999</v>
      </c>
      <c r="F11" s="9">
        <v>105.77889879743501</v>
      </c>
      <c r="G11" s="20">
        <v>7.54</v>
      </c>
      <c r="H11" s="180">
        <v>0.58333333333333337</v>
      </c>
      <c r="I11" s="180">
        <v>0.67708333333333337</v>
      </c>
      <c r="J11" s="20">
        <v>2.25</v>
      </c>
      <c r="K11" s="10" t="s">
        <v>456</v>
      </c>
      <c r="L11" s="12">
        <v>50</v>
      </c>
      <c r="M11" s="12">
        <v>40</v>
      </c>
      <c r="N11" s="21" t="s">
        <v>466</v>
      </c>
      <c r="O11" s="23" t="s">
        <v>25</v>
      </c>
      <c r="Q11" s="269">
        <v>15.06</v>
      </c>
      <c r="R11" s="213">
        <v>318.24</v>
      </c>
      <c r="S11" s="277">
        <v>22.9</v>
      </c>
      <c r="T11" s="278" t="s">
        <v>471</v>
      </c>
      <c r="U11" s="278" t="s">
        <v>562</v>
      </c>
      <c r="V11" s="15"/>
      <c r="W11" s="15"/>
      <c r="X11" s="15"/>
      <c r="Y11" s="16"/>
    </row>
    <row r="12" spans="1:25" ht="56.25" customHeight="1" x14ac:dyDescent="0.35">
      <c r="A12" s="8">
        <v>11</v>
      </c>
      <c r="B12" s="8" t="s">
        <v>13</v>
      </c>
      <c r="C12" s="144" t="s">
        <v>26</v>
      </c>
      <c r="D12" s="137">
        <v>43893</v>
      </c>
      <c r="E12" s="9">
        <v>21.041897329686801</v>
      </c>
      <c r="F12" s="9">
        <v>105.7936892686</v>
      </c>
      <c r="G12" s="20">
        <v>11.08</v>
      </c>
      <c r="H12" s="180">
        <v>0.58333333333333337</v>
      </c>
      <c r="I12" s="180">
        <v>0.67708333333333337</v>
      </c>
      <c r="J12" s="20">
        <v>2.25</v>
      </c>
      <c r="K12" s="10" t="s">
        <v>456</v>
      </c>
      <c r="L12" s="12">
        <v>50</v>
      </c>
      <c r="M12" s="12">
        <v>40</v>
      </c>
      <c r="N12" s="21" t="s">
        <v>466</v>
      </c>
      <c r="O12" s="23" t="s">
        <v>25</v>
      </c>
      <c r="Q12" s="269">
        <v>15.06</v>
      </c>
      <c r="R12" s="213">
        <v>148.6</v>
      </c>
      <c r="S12" s="277">
        <v>22.9</v>
      </c>
      <c r="T12" s="278" t="s">
        <v>471</v>
      </c>
      <c r="U12" s="278" t="s">
        <v>562</v>
      </c>
      <c r="V12" s="15"/>
      <c r="W12" s="15"/>
      <c r="X12" s="15"/>
      <c r="Y12" s="16"/>
    </row>
    <row r="13" spans="1:25" ht="56.25" customHeight="1" x14ac:dyDescent="0.35">
      <c r="A13" s="10">
        <v>12</v>
      </c>
      <c r="B13" s="8" t="s">
        <v>13</v>
      </c>
      <c r="C13" s="144" t="s">
        <v>27</v>
      </c>
      <c r="D13" s="137">
        <v>43893</v>
      </c>
      <c r="E13" s="9">
        <v>21.0221355494688</v>
      </c>
      <c r="F13" s="9">
        <v>105.79979476490099</v>
      </c>
      <c r="G13" s="20">
        <v>1.98</v>
      </c>
      <c r="H13" s="180">
        <v>0.58333333333333337</v>
      </c>
      <c r="I13" s="180">
        <v>0.67708333333333337</v>
      </c>
      <c r="J13" s="20">
        <v>2.25</v>
      </c>
      <c r="K13" s="10" t="s">
        <v>456</v>
      </c>
      <c r="L13" s="12">
        <v>50</v>
      </c>
      <c r="M13" s="12">
        <v>40</v>
      </c>
      <c r="N13" s="21" t="s">
        <v>466</v>
      </c>
      <c r="O13" s="23" t="s">
        <v>25</v>
      </c>
      <c r="Q13" s="269">
        <v>15.06</v>
      </c>
      <c r="R13" s="213">
        <v>0</v>
      </c>
      <c r="S13" s="277">
        <v>22.9</v>
      </c>
      <c r="T13" s="278" t="s">
        <v>471</v>
      </c>
      <c r="U13" s="278" t="s">
        <v>562</v>
      </c>
      <c r="V13" s="15"/>
      <c r="W13" s="15"/>
      <c r="X13" s="15"/>
      <c r="Y13" s="16"/>
    </row>
    <row r="14" spans="1:25" ht="56.25" customHeight="1" x14ac:dyDescent="0.35">
      <c r="A14" s="8">
        <v>13</v>
      </c>
      <c r="B14" s="8" t="s">
        <v>13</v>
      </c>
      <c r="C14" s="144" t="s">
        <v>14</v>
      </c>
      <c r="D14" s="137">
        <v>43893</v>
      </c>
      <c r="E14" s="9">
        <v>21.025171827926101</v>
      </c>
      <c r="F14" s="9">
        <v>105.795453695586</v>
      </c>
      <c r="G14" s="20">
        <v>12.92</v>
      </c>
      <c r="H14" s="180">
        <v>0.58333333333333337</v>
      </c>
      <c r="I14" s="180">
        <v>0.67708333333333337</v>
      </c>
      <c r="J14" s="20">
        <v>2.25</v>
      </c>
      <c r="K14" s="10" t="s">
        <v>456</v>
      </c>
      <c r="L14" s="12">
        <v>50</v>
      </c>
      <c r="M14" s="12">
        <v>40</v>
      </c>
      <c r="N14" s="21" t="s">
        <v>466</v>
      </c>
      <c r="O14" s="23" t="s">
        <v>25</v>
      </c>
      <c r="Q14" s="269">
        <v>15.06</v>
      </c>
      <c r="R14" s="213">
        <v>206.36</v>
      </c>
      <c r="S14" s="277">
        <v>22.9</v>
      </c>
      <c r="T14" s="278" t="s">
        <v>471</v>
      </c>
      <c r="U14" s="278" t="s">
        <v>562</v>
      </c>
      <c r="V14" s="15"/>
      <c r="W14" s="15"/>
      <c r="X14" s="15"/>
      <c r="Y14" s="16"/>
    </row>
    <row r="15" spans="1:25" ht="56.25" customHeight="1" x14ac:dyDescent="0.35">
      <c r="A15" s="8">
        <v>14</v>
      </c>
      <c r="B15" s="8" t="s">
        <v>13</v>
      </c>
      <c r="C15" s="144" t="s">
        <v>24</v>
      </c>
      <c r="D15" s="137">
        <v>45097</v>
      </c>
      <c r="E15" s="9">
        <v>21.033241976673999</v>
      </c>
      <c r="F15" s="9">
        <v>105.77889879743501</v>
      </c>
      <c r="G15" s="20">
        <v>7.54</v>
      </c>
      <c r="H15" s="180">
        <v>0.75</v>
      </c>
      <c r="I15" s="180">
        <v>0.80555555555555558</v>
      </c>
      <c r="J15" s="20">
        <v>2.35</v>
      </c>
      <c r="K15" s="10" t="s">
        <v>456</v>
      </c>
      <c r="L15" s="12">
        <v>50</v>
      </c>
      <c r="M15" s="12">
        <v>70</v>
      </c>
      <c r="N15" s="13" t="s">
        <v>466</v>
      </c>
      <c r="O15" s="178" t="s">
        <v>28</v>
      </c>
      <c r="Q15" s="269">
        <v>1.26</v>
      </c>
      <c r="R15" s="213">
        <v>318.24</v>
      </c>
      <c r="S15" s="277">
        <v>1.5</v>
      </c>
      <c r="T15" s="278" t="s">
        <v>468</v>
      </c>
      <c r="U15" s="278" t="s">
        <v>562</v>
      </c>
      <c r="V15" s="15"/>
      <c r="W15" s="15"/>
      <c r="X15" s="15"/>
      <c r="Y15" s="16"/>
    </row>
    <row r="16" spans="1:25" ht="56.25" customHeight="1" x14ac:dyDescent="0.35">
      <c r="A16" s="10">
        <v>15</v>
      </c>
      <c r="B16" s="8" t="s">
        <v>13</v>
      </c>
      <c r="C16" s="144" t="s">
        <v>29</v>
      </c>
      <c r="D16" s="137">
        <v>45138</v>
      </c>
      <c r="E16" s="9">
        <v>21.037375251333099</v>
      </c>
      <c r="F16" s="9">
        <v>105.785973209079</v>
      </c>
      <c r="G16" s="20">
        <v>8.43</v>
      </c>
      <c r="H16" s="180">
        <v>0.58333333333333337</v>
      </c>
      <c r="I16" s="185">
        <v>0.625</v>
      </c>
      <c r="J16" s="20">
        <v>1</v>
      </c>
      <c r="K16" s="10" t="s">
        <v>456</v>
      </c>
      <c r="L16" s="12">
        <v>50</v>
      </c>
      <c r="M16" s="12">
        <v>60</v>
      </c>
      <c r="N16" s="13" t="s">
        <v>466</v>
      </c>
      <c r="O16" s="178" t="s">
        <v>30</v>
      </c>
      <c r="Q16" s="269">
        <v>17.059999999999999</v>
      </c>
      <c r="R16" s="213">
        <v>85.65</v>
      </c>
      <c r="S16" s="277">
        <v>23.2</v>
      </c>
      <c r="T16" s="278" t="s">
        <v>471</v>
      </c>
      <c r="U16" s="278" t="s">
        <v>562</v>
      </c>
      <c r="V16" s="15"/>
      <c r="W16" s="15"/>
      <c r="X16" s="15"/>
      <c r="Y16" s="16"/>
    </row>
    <row r="17" spans="1:25" ht="56.25" customHeight="1" x14ac:dyDescent="0.35">
      <c r="A17" s="8">
        <v>16</v>
      </c>
      <c r="B17" s="8" t="s">
        <v>13</v>
      </c>
      <c r="C17" s="144" t="s">
        <v>14</v>
      </c>
      <c r="D17" s="137">
        <v>45138</v>
      </c>
      <c r="E17" s="9">
        <v>21.025171827926101</v>
      </c>
      <c r="F17" s="9">
        <v>105.795453695586</v>
      </c>
      <c r="G17" s="20">
        <v>12.92</v>
      </c>
      <c r="H17" s="180">
        <v>0.58333333333333337</v>
      </c>
      <c r="I17" s="185">
        <v>0.625</v>
      </c>
      <c r="J17" s="20">
        <v>1</v>
      </c>
      <c r="K17" s="10" t="s">
        <v>456</v>
      </c>
      <c r="L17" s="12">
        <v>50</v>
      </c>
      <c r="M17" s="12">
        <v>60</v>
      </c>
      <c r="N17" s="13" t="s">
        <v>466</v>
      </c>
      <c r="O17" s="23" t="s">
        <v>30</v>
      </c>
      <c r="Q17" s="269">
        <v>17.059999999999999</v>
      </c>
      <c r="R17" s="213">
        <v>206.36</v>
      </c>
      <c r="S17" s="277">
        <v>23.2</v>
      </c>
      <c r="T17" s="278" t="s">
        <v>471</v>
      </c>
      <c r="U17" s="278" t="s">
        <v>562</v>
      </c>
      <c r="V17" s="15"/>
      <c r="W17" s="15"/>
      <c r="X17" s="15"/>
      <c r="Y17" s="16"/>
    </row>
    <row r="18" spans="1:25" ht="56.25" customHeight="1" x14ac:dyDescent="0.35">
      <c r="A18" s="8">
        <v>17</v>
      </c>
      <c r="B18" s="8" t="s">
        <v>13</v>
      </c>
      <c r="C18" s="144" t="s">
        <v>14</v>
      </c>
      <c r="D18" s="137">
        <v>45197</v>
      </c>
      <c r="E18" s="9">
        <v>21.025171827926101</v>
      </c>
      <c r="F18" s="9">
        <v>105.795453695586</v>
      </c>
      <c r="G18" s="20">
        <v>12.92</v>
      </c>
      <c r="H18" s="180">
        <v>0.375</v>
      </c>
      <c r="I18" s="180">
        <v>0.41666666666666669</v>
      </c>
      <c r="J18" s="20">
        <v>1</v>
      </c>
      <c r="K18" s="10" t="s">
        <v>456</v>
      </c>
      <c r="L18" s="12">
        <v>30</v>
      </c>
      <c r="M18" s="12">
        <v>68</v>
      </c>
      <c r="N18" s="13" t="s">
        <v>466</v>
      </c>
      <c r="O18" s="23" t="s">
        <v>31</v>
      </c>
      <c r="Q18" s="269">
        <v>68.59</v>
      </c>
      <c r="R18" s="213">
        <v>206.36</v>
      </c>
      <c r="S18" s="277">
        <v>38</v>
      </c>
      <c r="T18" s="278" t="s">
        <v>471</v>
      </c>
      <c r="U18" s="278" t="s">
        <v>562</v>
      </c>
      <c r="V18" s="15"/>
      <c r="W18" s="15"/>
      <c r="X18" s="15"/>
      <c r="Y18" s="16"/>
    </row>
    <row r="19" spans="1:25" ht="56.25" customHeight="1" x14ac:dyDescent="0.35">
      <c r="A19" s="10">
        <v>18</v>
      </c>
      <c r="B19" s="8" t="s">
        <v>13</v>
      </c>
      <c r="C19" s="144" t="s">
        <v>32</v>
      </c>
      <c r="D19" s="137">
        <v>45197</v>
      </c>
      <c r="E19" s="9">
        <v>21.0538321699002</v>
      </c>
      <c r="F19" s="9">
        <v>105.787900610929</v>
      </c>
      <c r="G19" s="20">
        <v>10.47</v>
      </c>
      <c r="H19" s="180">
        <v>0.375</v>
      </c>
      <c r="I19" s="180">
        <v>0.41666666666666669</v>
      </c>
      <c r="J19" s="20">
        <v>1</v>
      </c>
      <c r="K19" s="10" t="s">
        <v>456</v>
      </c>
      <c r="L19" s="12">
        <v>30</v>
      </c>
      <c r="M19" s="12">
        <v>68</v>
      </c>
      <c r="N19" s="13" t="s">
        <v>466</v>
      </c>
      <c r="O19" s="23" t="s">
        <v>31</v>
      </c>
      <c r="Q19" s="269">
        <v>68.59</v>
      </c>
      <c r="R19" s="213">
        <v>327.3</v>
      </c>
      <c r="S19" s="277">
        <v>38</v>
      </c>
      <c r="T19" s="278" t="s">
        <v>471</v>
      </c>
      <c r="U19" s="278" t="s">
        <v>562</v>
      </c>
      <c r="V19" s="15"/>
      <c r="W19" s="15"/>
      <c r="X19" s="15"/>
      <c r="Y19" s="16"/>
    </row>
    <row r="20" spans="1:25" ht="56.25" customHeight="1" x14ac:dyDescent="0.35">
      <c r="A20" s="8">
        <v>19</v>
      </c>
      <c r="B20" s="8" t="s">
        <v>13</v>
      </c>
      <c r="C20" s="144" t="s">
        <v>33</v>
      </c>
      <c r="D20" s="137">
        <v>45197</v>
      </c>
      <c r="E20" s="9">
        <v>21.027999999999999</v>
      </c>
      <c r="F20" s="9">
        <v>105.792</v>
      </c>
      <c r="G20" s="20">
        <v>8.17</v>
      </c>
      <c r="H20" s="180">
        <v>1</v>
      </c>
      <c r="I20" s="180">
        <v>0.33333333333333331</v>
      </c>
      <c r="J20" s="20">
        <v>8</v>
      </c>
      <c r="K20" s="10" t="s">
        <v>456</v>
      </c>
      <c r="L20" s="12">
        <v>40</v>
      </c>
      <c r="M20" s="12">
        <v>60</v>
      </c>
      <c r="N20" s="13" t="s">
        <v>469</v>
      </c>
      <c r="O20" s="178" t="s">
        <v>34</v>
      </c>
      <c r="Q20" s="269">
        <v>68.59</v>
      </c>
      <c r="R20" s="213">
        <v>30.79</v>
      </c>
      <c r="S20" s="277">
        <v>38</v>
      </c>
      <c r="T20" s="278" t="s">
        <v>471</v>
      </c>
      <c r="U20" s="278" t="s">
        <v>562</v>
      </c>
      <c r="V20" s="15"/>
      <c r="W20" s="15"/>
      <c r="X20" s="15"/>
      <c r="Y20" s="16"/>
    </row>
    <row r="21" spans="1:25" ht="56.25" customHeight="1" x14ac:dyDescent="0.35">
      <c r="A21" s="8">
        <v>20</v>
      </c>
      <c r="B21" s="8" t="s">
        <v>13</v>
      </c>
      <c r="C21" s="144" t="s">
        <v>19</v>
      </c>
      <c r="D21" s="137">
        <v>45197</v>
      </c>
      <c r="E21" s="9">
        <v>21.023199999999999</v>
      </c>
      <c r="F21" s="9">
        <v>105.7876</v>
      </c>
      <c r="G21" s="20">
        <v>7.26</v>
      </c>
      <c r="H21" s="180">
        <v>1</v>
      </c>
      <c r="I21" s="180">
        <v>0.33333333333333331</v>
      </c>
      <c r="J21" s="20">
        <v>8</v>
      </c>
      <c r="K21" s="10" t="s">
        <v>456</v>
      </c>
      <c r="L21" s="12">
        <v>30</v>
      </c>
      <c r="M21" s="12">
        <v>200</v>
      </c>
      <c r="N21" s="13" t="s">
        <v>469</v>
      </c>
      <c r="O21" s="23" t="s">
        <v>35</v>
      </c>
      <c r="Q21" s="269">
        <v>68.59</v>
      </c>
      <c r="R21" s="213">
        <v>260.58</v>
      </c>
      <c r="S21" s="277">
        <v>38</v>
      </c>
      <c r="T21" s="278" t="s">
        <v>471</v>
      </c>
      <c r="U21" s="278" t="s">
        <v>562</v>
      </c>
      <c r="V21" s="15"/>
      <c r="W21" s="15"/>
      <c r="X21" s="15"/>
      <c r="Y21" s="16"/>
    </row>
    <row r="22" spans="1:25" ht="56.25" customHeight="1" x14ac:dyDescent="0.35">
      <c r="A22" s="10">
        <v>21</v>
      </c>
      <c r="B22" s="8" t="s">
        <v>13</v>
      </c>
      <c r="C22" s="144" t="s">
        <v>29</v>
      </c>
      <c r="D22" s="137">
        <v>45497</v>
      </c>
      <c r="E22" s="9">
        <v>21.037375251333099</v>
      </c>
      <c r="F22" s="9">
        <v>105.785973209079</v>
      </c>
      <c r="G22" s="20">
        <v>8.43</v>
      </c>
      <c r="H22" s="180">
        <v>1</v>
      </c>
      <c r="I22" s="180">
        <v>0.20833333333333334</v>
      </c>
      <c r="J22" s="20">
        <v>0.20833333333333334</v>
      </c>
      <c r="K22" s="8" t="s">
        <v>456</v>
      </c>
      <c r="L22" s="12">
        <v>50</v>
      </c>
      <c r="M22" s="12">
        <v>161.30000000000001</v>
      </c>
      <c r="N22" s="13" t="s">
        <v>466</v>
      </c>
      <c r="O22" s="23" t="s">
        <v>36</v>
      </c>
      <c r="Q22" s="269">
        <v>16.510000000000002</v>
      </c>
      <c r="R22" s="213">
        <v>85.65</v>
      </c>
      <c r="S22" s="277">
        <v>77.900000000000006</v>
      </c>
      <c r="T22" s="278" t="s">
        <v>563</v>
      </c>
      <c r="U22" s="278" t="s">
        <v>562</v>
      </c>
      <c r="V22" s="15"/>
      <c r="W22" s="15"/>
      <c r="X22" s="15"/>
      <c r="Y22" s="16"/>
    </row>
    <row r="23" spans="1:25" ht="56.25" customHeight="1" x14ac:dyDescent="0.35">
      <c r="A23" s="8">
        <v>22</v>
      </c>
      <c r="B23" s="8" t="s">
        <v>13</v>
      </c>
      <c r="C23" s="144" t="s">
        <v>37</v>
      </c>
      <c r="D23" s="137">
        <v>45424</v>
      </c>
      <c r="E23" s="9">
        <v>21.037375251333099</v>
      </c>
      <c r="F23" s="9">
        <v>105.785973209079</v>
      </c>
      <c r="G23" s="20">
        <v>8.43</v>
      </c>
      <c r="H23" s="180">
        <v>0.75</v>
      </c>
      <c r="I23" s="180">
        <v>0.84722222222222221</v>
      </c>
      <c r="J23" s="20">
        <v>2.33</v>
      </c>
      <c r="K23" s="8" t="s">
        <v>456</v>
      </c>
      <c r="L23" s="12">
        <v>40</v>
      </c>
      <c r="M23" s="12">
        <v>70</v>
      </c>
      <c r="N23" s="13" t="s">
        <v>472</v>
      </c>
      <c r="O23" s="24" t="s">
        <v>38</v>
      </c>
      <c r="Q23" s="269">
        <v>8.17</v>
      </c>
      <c r="R23" s="213">
        <v>85.65</v>
      </c>
      <c r="S23" s="277">
        <v>33.1</v>
      </c>
      <c r="T23" s="278" t="s">
        <v>471</v>
      </c>
      <c r="U23" s="278" t="s">
        <v>562</v>
      </c>
      <c r="V23" s="15"/>
      <c r="W23" s="15"/>
      <c r="X23" s="15"/>
      <c r="Y23" s="16"/>
    </row>
    <row r="24" spans="1:25" ht="56.25" customHeight="1" x14ac:dyDescent="0.35">
      <c r="A24" s="8">
        <v>23</v>
      </c>
      <c r="B24" s="8" t="s">
        <v>13</v>
      </c>
      <c r="C24" s="146" t="s">
        <v>39</v>
      </c>
      <c r="D24" s="137">
        <v>45424</v>
      </c>
      <c r="E24" s="25">
        <v>21.018325605722399</v>
      </c>
      <c r="F24" s="25">
        <v>105.78413351344</v>
      </c>
      <c r="G24" s="20">
        <v>7.26</v>
      </c>
      <c r="H24" s="180">
        <v>0.75</v>
      </c>
      <c r="I24" s="180">
        <v>0.79166666666666663</v>
      </c>
      <c r="J24" s="20">
        <v>1</v>
      </c>
      <c r="K24" s="8" t="s">
        <v>456</v>
      </c>
      <c r="L24" s="27">
        <v>35</v>
      </c>
      <c r="M24" s="27">
        <v>70</v>
      </c>
      <c r="N24" s="21" t="s">
        <v>466</v>
      </c>
      <c r="O24" s="28" t="s">
        <v>40</v>
      </c>
      <c r="Q24" s="269">
        <v>8.17</v>
      </c>
      <c r="R24" s="213">
        <v>93.66</v>
      </c>
      <c r="S24" s="277">
        <v>38.6</v>
      </c>
      <c r="T24" s="278" t="s">
        <v>471</v>
      </c>
      <c r="U24" s="278" t="s">
        <v>562</v>
      </c>
      <c r="V24" s="15"/>
      <c r="W24" s="15"/>
      <c r="X24" s="15"/>
      <c r="Y24" s="16"/>
    </row>
    <row r="25" spans="1:25" ht="56.25" customHeight="1" x14ac:dyDescent="0.35">
      <c r="A25" s="10">
        <v>24</v>
      </c>
      <c r="B25" s="8" t="s">
        <v>13</v>
      </c>
      <c r="C25" s="146" t="s">
        <v>41</v>
      </c>
      <c r="D25" s="137">
        <v>45424</v>
      </c>
      <c r="E25" s="25">
        <v>21.026615468459799</v>
      </c>
      <c r="F25" s="25">
        <v>105.796443880243</v>
      </c>
      <c r="G25" s="20">
        <v>12.92</v>
      </c>
      <c r="H25" s="180">
        <v>0.75</v>
      </c>
      <c r="I25" s="180">
        <v>0.84722222222222221</v>
      </c>
      <c r="J25" s="20">
        <v>2.33</v>
      </c>
      <c r="K25" s="8" t="s">
        <v>456</v>
      </c>
      <c r="L25" s="27">
        <v>35</v>
      </c>
      <c r="M25" s="27">
        <v>70</v>
      </c>
      <c r="N25" s="21" t="s">
        <v>472</v>
      </c>
      <c r="O25" s="24" t="s">
        <v>38</v>
      </c>
      <c r="Q25" s="269">
        <v>8.17</v>
      </c>
      <c r="R25" s="213">
        <v>151.38</v>
      </c>
      <c r="S25" s="277">
        <v>33.1</v>
      </c>
      <c r="T25" s="278" t="s">
        <v>471</v>
      </c>
      <c r="U25" s="278" t="s">
        <v>562</v>
      </c>
      <c r="V25" s="15"/>
      <c r="W25" s="15"/>
      <c r="X25" s="15"/>
      <c r="Y25" s="16"/>
    </row>
    <row r="26" spans="1:25" ht="56.25" customHeight="1" x14ac:dyDescent="0.35">
      <c r="A26" s="8">
        <v>25</v>
      </c>
      <c r="B26" s="8" t="s">
        <v>13</v>
      </c>
      <c r="C26" s="147" t="s">
        <v>32</v>
      </c>
      <c r="D26" s="137">
        <v>45424</v>
      </c>
      <c r="E26" s="9">
        <v>21.0538321699002</v>
      </c>
      <c r="F26" s="9">
        <v>105.787900610929</v>
      </c>
      <c r="G26" s="20">
        <v>10.47</v>
      </c>
      <c r="H26" s="180">
        <v>0.72916666666666663</v>
      </c>
      <c r="I26" s="180">
        <v>0.85416666666666663</v>
      </c>
      <c r="J26" s="20">
        <v>3</v>
      </c>
      <c r="K26" s="8" t="s">
        <v>456</v>
      </c>
      <c r="L26" s="27">
        <v>25</v>
      </c>
      <c r="M26" s="27">
        <v>60</v>
      </c>
      <c r="N26" s="21" t="s">
        <v>466</v>
      </c>
      <c r="O26" s="28" t="s">
        <v>42</v>
      </c>
      <c r="Q26" s="269">
        <v>8.17</v>
      </c>
      <c r="R26" s="213">
        <v>327.3</v>
      </c>
      <c r="S26" s="277">
        <v>33.1</v>
      </c>
      <c r="T26" s="278" t="s">
        <v>471</v>
      </c>
      <c r="U26" s="278" t="s">
        <v>562</v>
      </c>
      <c r="V26" s="15"/>
      <c r="W26" s="15"/>
      <c r="X26" s="15"/>
      <c r="Y26" s="16"/>
    </row>
    <row r="27" spans="1:25" ht="56.25" customHeight="1" x14ac:dyDescent="0.35">
      <c r="A27" s="8">
        <v>26</v>
      </c>
      <c r="B27" s="8" t="s">
        <v>13</v>
      </c>
      <c r="C27" s="146" t="s">
        <v>43</v>
      </c>
      <c r="D27" s="137">
        <v>45427</v>
      </c>
      <c r="E27" s="25">
        <v>21.047049637509499</v>
      </c>
      <c r="F27" s="25">
        <v>105.785443380244</v>
      </c>
      <c r="G27" s="20">
        <v>9.6300000000000008</v>
      </c>
      <c r="H27" s="180">
        <v>0.54166666666666663</v>
      </c>
      <c r="I27" s="180">
        <v>0.70833333333333337</v>
      </c>
      <c r="J27" s="20">
        <v>5</v>
      </c>
      <c r="K27" s="8" t="s">
        <v>456</v>
      </c>
      <c r="L27" s="27">
        <v>25</v>
      </c>
      <c r="M27" s="27">
        <v>50</v>
      </c>
      <c r="N27" s="21" t="s">
        <v>466</v>
      </c>
      <c r="O27" s="24" t="s">
        <v>44</v>
      </c>
      <c r="Q27" s="269">
        <v>2.4</v>
      </c>
      <c r="R27" s="213">
        <v>401.35</v>
      </c>
      <c r="S27" s="277">
        <v>39.799999999999997</v>
      </c>
      <c r="T27" s="278" t="s">
        <v>471</v>
      </c>
      <c r="U27" s="278" t="s">
        <v>562</v>
      </c>
      <c r="V27" s="15"/>
      <c r="W27" s="15"/>
      <c r="X27" s="15"/>
      <c r="Y27" s="16"/>
    </row>
    <row r="28" spans="1:25" ht="56.25" customHeight="1" x14ac:dyDescent="0.35">
      <c r="A28" s="10">
        <v>27</v>
      </c>
      <c r="B28" s="8" t="s">
        <v>13</v>
      </c>
      <c r="C28" s="144" t="s">
        <v>45</v>
      </c>
      <c r="D28" s="137">
        <v>45467</v>
      </c>
      <c r="E28" s="9">
        <v>21.028394824610299</v>
      </c>
      <c r="F28" s="9">
        <v>105.803420495586</v>
      </c>
      <c r="G28" s="20">
        <v>11.42</v>
      </c>
      <c r="H28" s="180">
        <v>0.20833333333333334</v>
      </c>
      <c r="I28" s="180">
        <v>0.33333333333333331</v>
      </c>
      <c r="J28" s="20">
        <v>3</v>
      </c>
      <c r="K28" s="8" t="s">
        <v>456</v>
      </c>
      <c r="L28" s="12">
        <v>25</v>
      </c>
      <c r="M28" s="12">
        <v>100</v>
      </c>
      <c r="N28" s="21" t="s">
        <v>466</v>
      </c>
      <c r="O28" s="23" t="s">
        <v>46</v>
      </c>
      <c r="Q28" s="269">
        <v>29.49</v>
      </c>
      <c r="R28" s="213">
        <v>241.41</v>
      </c>
      <c r="S28" s="277">
        <v>23.8</v>
      </c>
      <c r="T28" s="278" t="s">
        <v>471</v>
      </c>
      <c r="U28" s="278" t="s">
        <v>562</v>
      </c>
      <c r="V28" s="15"/>
      <c r="W28" s="15"/>
      <c r="X28" s="15"/>
      <c r="Y28" s="16"/>
    </row>
    <row r="29" spans="1:25" ht="56.25" customHeight="1" x14ac:dyDescent="0.35">
      <c r="A29" s="8">
        <v>28</v>
      </c>
      <c r="B29" s="8" t="s">
        <v>13</v>
      </c>
      <c r="C29" s="144" t="s">
        <v>19</v>
      </c>
      <c r="D29" s="137">
        <v>45497</v>
      </c>
      <c r="E29" s="29">
        <v>21.021782920491599</v>
      </c>
      <c r="F29" s="29">
        <v>105.787800864901</v>
      </c>
      <c r="G29" s="20">
        <v>7.26</v>
      </c>
      <c r="H29" s="180">
        <v>0.25</v>
      </c>
      <c r="I29" s="180">
        <v>0.375</v>
      </c>
      <c r="J29" s="20">
        <v>3</v>
      </c>
      <c r="K29" s="8" t="s">
        <v>456</v>
      </c>
      <c r="L29" s="12">
        <v>50</v>
      </c>
      <c r="M29" s="12">
        <v>161.30000000000001</v>
      </c>
      <c r="N29" s="21" t="s">
        <v>466</v>
      </c>
      <c r="O29" s="30" t="s">
        <v>36</v>
      </c>
      <c r="Q29" s="269">
        <v>16.510000000000002</v>
      </c>
      <c r="R29" s="213">
        <v>290.62</v>
      </c>
      <c r="S29" s="277">
        <v>60.6</v>
      </c>
      <c r="T29" s="278" t="s">
        <v>563</v>
      </c>
      <c r="U29" s="278" t="s">
        <v>562</v>
      </c>
      <c r="V29" s="16"/>
      <c r="W29" s="16"/>
      <c r="X29" s="16"/>
      <c r="Y29" s="16"/>
    </row>
    <row r="30" spans="1:25" ht="56.25" customHeight="1" x14ac:dyDescent="0.35">
      <c r="A30" s="8">
        <v>29</v>
      </c>
      <c r="B30" s="8" t="s">
        <v>13</v>
      </c>
      <c r="C30" s="148" t="s">
        <v>29</v>
      </c>
      <c r="D30" s="137">
        <v>45497</v>
      </c>
      <c r="E30" s="9">
        <v>21.037375251333099</v>
      </c>
      <c r="F30" s="9">
        <v>105.785973209079</v>
      </c>
      <c r="G30" s="20">
        <v>8.43</v>
      </c>
      <c r="H30" s="180">
        <v>0.25</v>
      </c>
      <c r="I30" s="180">
        <v>0.375</v>
      </c>
      <c r="J30" s="20">
        <v>3</v>
      </c>
      <c r="K30" s="8" t="s">
        <v>456</v>
      </c>
      <c r="L30" s="31">
        <v>50</v>
      </c>
      <c r="M30" s="31">
        <v>161.30000000000001</v>
      </c>
      <c r="N30" s="21" t="s">
        <v>466</v>
      </c>
      <c r="O30" s="32" t="s">
        <v>36</v>
      </c>
      <c r="Q30" s="269">
        <v>16.510000000000002</v>
      </c>
      <c r="R30" s="213">
        <v>85.65</v>
      </c>
      <c r="S30" s="277">
        <v>77.900000000000006</v>
      </c>
      <c r="T30" s="278" t="s">
        <v>563</v>
      </c>
      <c r="U30" s="278" t="s">
        <v>562</v>
      </c>
      <c r="V30" s="16"/>
      <c r="W30" s="16"/>
      <c r="X30" s="16"/>
      <c r="Y30" s="16"/>
    </row>
    <row r="31" spans="1:25" ht="56.25" customHeight="1" x14ac:dyDescent="0.35">
      <c r="A31" s="10">
        <v>30</v>
      </c>
      <c r="B31" s="8" t="s">
        <v>13</v>
      </c>
      <c r="C31" s="150" t="s">
        <v>19</v>
      </c>
      <c r="D31" s="137">
        <v>45727</v>
      </c>
      <c r="E31" s="29">
        <v>21.021782920491599</v>
      </c>
      <c r="F31" s="29">
        <v>105.787800864901</v>
      </c>
      <c r="G31" s="20">
        <v>7.26</v>
      </c>
      <c r="H31" s="180">
        <v>0.33333333333333331</v>
      </c>
      <c r="I31" s="180">
        <v>0.375</v>
      </c>
      <c r="J31" s="20">
        <v>1</v>
      </c>
      <c r="K31" s="8" t="s">
        <v>456</v>
      </c>
      <c r="L31" s="31">
        <v>50</v>
      </c>
      <c r="M31" s="31">
        <v>161.30000000000001</v>
      </c>
      <c r="N31" s="21" t="s">
        <v>466</v>
      </c>
      <c r="O31" s="33" t="s">
        <v>47</v>
      </c>
      <c r="Q31" s="269">
        <v>0.12</v>
      </c>
      <c r="R31" s="213">
        <v>290.62</v>
      </c>
      <c r="S31" s="277">
        <v>0.7</v>
      </c>
      <c r="T31" s="278" t="s">
        <v>468</v>
      </c>
      <c r="U31" s="278" t="s">
        <v>562</v>
      </c>
      <c r="V31" s="15"/>
      <c r="W31" s="15"/>
      <c r="X31" s="15"/>
      <c r="Y31" s="16"/>
    </row>
    <row r="32" spans="1:25" ht="56.25" customHeight="1" x14ac:dyDescent="0.35">
      <c r="A32" s="8">
        <v>31</v>
      </c>
      <c r="B32" s="8" t="s">
        <v>13</v>
      </c>
      <c r="C32" s="150" t="s">
        <v>48</v>
      </c>
      <c r="D32" s="137">
        <v>45727</v>
      </c>
      <c r="E32" s="9">
        <v>21.027270000000001</v>
      </c>
      <c r="F32" s="9">
        <v>105.78776000000001</v>
      </c>
      <c r="G32" s="20">
        <v>7.26</v>
      </c>
      <c r="H32" s="180">
        <v>0.33333333333333331</v>
      </c>
      <c r="I32" s="180">
        <v>0.375</v>
      </c>
      <c r="J32" s="20">
        <v>1</v>
      </c>
      <c r="K32" s="8" t="s">
        <v>456</v>
      </c>
      <c r="L32" s="31">
        <v>50</v>
      </c>
      <c r="M32" s="31">
        <v>161.30000000000001</v>
      </c>
      <c r="N32" s="21" t="s">
        <v>466</v>
      </c>
      <c r="O32" s="33" t="s">
        <v>47</v>
      </c>
      <c r="Q32" s="269">
        <v>0.12</v>
      </c>
      <c r="R32" s="213">
        <v>268.64999999999998</v>
      </c>
      <c r="S32" s="277">
        <v>0.4</v>
      </c>
      <c r="T32" s="278" t="s">
        <v>468</v>
      </c>
      <c r="U32" s="278" t="s">
        <v>562</v>
      </c>
      <c r="V32" s="15"/>
      <c r="W32" s="15"/>
      <c r="X32" s="15"/>
      <c r="Y32" s="16"/>
    </row>
    <row r="33" spans="1:25" ht="56.25" customHeight="1" x14ac:dyDescent="0.35">
      <c r="A33" s="8">
        <v>32</v>
      </c>
      <c r="B33" s="8" t="s">
        <v>13</v>
      </c>
      <c r="C33" s="150" t="s">
        <v>49</v>
      </c>
      <c r="D33" s="137">
        <v>45727</v>
      </c>
      <c r="E33" s="9">
        <v>21.01174</v>
      </c>
      <c r="F33" s="9">
        <v>105.80070000000001</v>
      </c>
      <c r="G33" s="20">
        <v>7.26</v>
      </c>
      <c r="H33" s="180">
        <v>0.33333333333333331</v>
      </c>
      <c r="I33" s="180">
        <v>0.375</v>
      </c>
      <c r="J33" s="20">
        <v>1</v>
      </c>
      <c r="K33" s="8" t="s">
        <v>456</v>
      </c>
      <c r="L33" s="31">
        <v>50</v>
      </c>
      <c r="M33" s="31">
        <v>161.30000000000001</v>
      </c>
      <c r="N33" s="21" t="s">
        <v>466</v>
      </c>
      <c r="O33" s="33" t="s">
        <v>47</v>
      </c>
      <c r="Q33" s="269">
        <v>0.12</v>
      </c>
      <c r="R33" s="213">
        <v>64.27</v>
      </c>
      <c r="S33" s="277">
        <v>0.7</v>
      </c>
      <c r="T33" s="278" t="s">
        <v>468</v>
      </c>
      <c r="U33" s="278" t="s">
        <v>562</v>
      </c>
      <c r="V33" s="15"/>
      <c r="W33" s="15"/>
      <c r="X33" s="15"/>
      <c r="Y33" s="16"/>
    </row>
    <row r="34" spans="1:25" ht="56.25" customHeight="1" x14ac:dyDescent="0.35">
      <c r="A34" s="10">
        <v>33</v>
      </c>
      <c r="B34" s="8" t="s">
        <v>13</v>
      </c>
      <c r="C34" s="150" t="s">
        <v>50</v>
      </c>
      <c r="D34" s="137">
        <v>45727</v>
      </c>
      <c r="E34" s="9">
        <v>21.014620000000001</v>
      </c>
      <c r="F34" s="9">
        <v>105.80166</v>
      </c>
      <c r="G34" s="20">
        <v>7.26</v>
      </c>
      <c r="H34" s="180">
        <v>0.33333333333333331</v>
      </c>
      <c r="I34" s="180">
        <v>0.375</v>
      </c>
      <c r="J34" s="20">
        <v>1</v>
      </c>
      <c r="K34" s="8" t="s">
        <v>456</v>
      </c>
      <c r="L34" s="31">
        <v>50</v>
      </c>
      <c r="M34" s="31">
        <v>161.30000000000001</v>
      </c>
      <c r="N34" s="21" t="s">
        <v>466</v>
      </c>
      <c r="O34" s="33" t="s">
        <v>47</v>
      </c>
      <c r="Q34" s="269">
        <v>0.12</v>
      </c>
      <c r="R34" s="213">
        <v>257.69</v>
      </c>
      <c r="S34" s="277">
        <v>0.7</v>
      </c>
      <c r="T34" s="278" t="s">
        <v>468</v>
      </c>
      <c r="U34" s="278" t="s">
        <v>562</v>
      </c>
      <c r="V34" s="15"/>
      <c r="W34" s="15"/>
      <c r="X34" s="15"/>
      <c r="Y34" s="16"/>
    </row>
    <row r="35" spans="1:25" ht="56.25" customHeight="1" x14ac:dyDescent="0.35">
      <c r="A35" s="8">
        <v>34</v>
      </c>
      <c r="B35" s="8" t="s">
        <v>13</v>
      </c>
      <c r="C35" s="149" t="s">
        <v>51</v>
      </c>
      <c r="D35" s="137">
        <v>45838</v>
      </c>
      <c r="E35" s="9">
        <v>21.0460685560865</v>
      </c>
      <c r="F35" s="9">
        <v>105.786349037915</v>
      </c>
      <c r="G35" s="20">
        <v>9.6300000000000008</v>
      </c>
      <c r="H35" s="180">
        <v>0.54166666666666663</v>
      </c>
      <c r="I35" s="180">
        <v>0.66666666666666663</v>
      </c>
      <c r="J35" s="20">
        <v>4</v>
      </c>
      <c r="K35" s="8" t="s">
        <v>456</v>
      </c>
      <c r="L35" s="204">
        <v>30</v>
      </c>
      <c r="M35" s="35">
        <v>100</v>
      </c>
      <c r="N35" s="13" t="s">
        <v>486</v>
      </c>
      <c r="O35" s="33" t="s">
        <v>52</v>
      </c>
      <c r="Q35" s="269">
        <v>69.819999999999993</v>
      </c>
      <c r="R35" s="213">
        <v>305.74</v>
      </c>
      <c r="S35" s="277">
        <v>41.8</v>
      </c>
      <c r="T35" s="278" t="s">
        <v>471</v>
      </c>
      <c r="U35" s="278" t="s">
        <v>562</v>
      </c>
      <c r="V35" s="15"/>
      <c r="W35" s="15"/>
      <c r="X35" s="15"/>
      <c r="Y35" s="16"/>
    </row>
    <row r="36" spans="1:25" ht="56.25" customHeight="1" x14ac:dyDescent="0.35">
      <c r="A36" s="8">
        <v>35</v>
      </c>
      <c r="B36" s="8" t="s">
        <v>13</v>
      </c>
      <c r="C36" s="149" t="s">
        <v>21</v>
      </c>
      <c r="D36" s="137">
        <v>45895</v>
      </c>
      <c r="E36" s="9">
        <v>21.018240540989002</v>
      </c>
      <c r="F36" s="9">
        <v>105.782186224421</v>
      </c>
      <c r="G36" s="20">
        <v>6.94</v>
      </c>
      <c r="H36" s="180">
        <v>1</v>
      </c>
      <c r="I36" s="180">
        <v>0.25</v>
      </c>
      <c r="J36" s="20">
        <v>6</v>
      </c>
      <c r="K36" s="8" t="s">
        <v>456</v>
      </c>
      <c r="L36" s="204">
        <v>20</v>
      </c>
      <c r="M36" s="35">
        <v>50</v>
      </c>
      <c r="N36" s="13" t="s">
        <v>486</v>
      </c>
      <c r="O36" s="33" t="s">
        <v>53</v>
      </c>
      <c r="Q36" s="269">
        <v>37.61</v>
      </c>
      <c r="R36" s="213">
        <v>21.46</v>
      </c>
      <c r="S36" s="277">
        <v>80</v>
      </c>
      <c r="T36" s="278" t="s">
        <v>563</v>
      </c>
      <c r="U36" s="278" t="s">
        <v>562</v>
      </c>
      <c r="V36" s="15"/>
      <c r="W36" s="15"/>
      <c r="X36" s="15"/>
      <c r="Y36" s="16"/>
    </row>
    <row r="37" spans="1:25" ht="56.25" customHeight="1" x14ac:dyDescent="0.35">
      <c r="A37" s="10">
        <v>36</v>
      </c>
      <c r="B37" s="8" t="s">
        <v>13</v>
      </c>
      <c r="C37" s="149" t="s">
        <v>14</v>
      </c>
      <c r="D37" s="137">
        <v>45895</v>
      </c>
      <c r="E37" s="9">
        <v>21.025171827926101</v>
      </c>
      <c r="F37" s="25">
        <v>105.796443880243</v>
      </c>
      <c r="G37" s="20">
        <v>12.92</v>
      </c>
      <c r="H37" s="180">
        <v>0.25</v>
      </c>
      <c r="I37" s="180">
        <v>0.33333333333333331</v>
      </c>
      <c r="J37" s="20">
        <v>2</v>
      </c>
      <c r="K37" s="8" t="s">
        <v>456</v>
      </c>
      <c r="L37" s="204">
        <v>40</v>
      </c>
      <c r="M37" s="35">
        <v>50</v>
      </c>
      <c r="N37" s="13" t="s">
        <v>486</v>
      </c>
      <c r="O37" s="33" t="s">
        <v>54</v>
      </c>
      <c r="Q37" s="269">
        <v>37.61</v>
      </c>
      <c r="R37" s="213">
        <v>104.33</v>
      </c>
      <c r="S37" s="277">
        <v>72.099999999999994</v>
      </c>
      <c r="T37" s="278" t="s">
        <v>563</v>
      </c>
      <c r="U37" s="278" t="s">
        <v>562</v>
      </c>
      <c r="V37" s="15"/>
      <c r="W37" s="15"/>
      <c r="X37" s="15"/>
      <c r="Y37" s="16"/>
    </row>
    <row r="38" spans="1:25" ht="56.25" customHeight="1" x14ac:dyDescent="0.35">
      <c r="A38" s="8">
        <v>37</v>
      </c>
      <c r="B38" s="8" t="s">
        <v>13</v>
      </c>
      <c r="C38" s="149" t="s">
        <v>32</v>
      </c>
      <c r="D38" s="137">
        <v>45937</v>
      </c>
      <c r="E38" s="9">
        <v>21.0538321699002</v>
      </c>
      <c r="F38" s="9">
        <v>105.787900610929</v>
      </c>
      <c r="G38" s="20">
        <v>10.47</v>
      </c>
      <c r="H38" s="180">
        <v>1</v>
      </c>
      <c r="I38" s="180">
        <v>0.29166666666666669</v>
      </c>
      <c r="J38" s="20">
        <v>7</v>
      </c>
      <c r="K38" s="8" t="s">
        <v>456</v>
      </c>
      <c r="L38" s="204">
        <v>35</v>
      </c>
      <c r="M38" s="35">
        <v>70</v>
      </c>
      <c r="N38" s="13" t="s">
        <v>486</v>
      </c>
      <c r="O38" s="33" t="s">
        <v>55</v>
      </c>
      <c r="Q38" s="269">
        <v>157.38999999999999</v>
      </c>
      <c r="R38" s="213">
        <v>327.3</v>
      </c>
      <c r="S38" s="277">
        <v>133.80000000000001</v>
      </c>
      <c r="T38" s="278" t="s">
        <v>563</v>
      </c>
      <c r="U38" s="278" t="s">
        <v>562</v>
      </c>
      <c r="V38" s="15"/>
      <c r="W38" s="15"/>
      <c r="X38" s="15"/>
      <c r="Y38" s="16"/>
    </row>
    <row r="39" spans="1:25" ht="56.25" customHeight="1" x14ac:dyDescent="0.35">
      <c r="A39" s="8">
        <v>38</v>
      </c>
      <c r="B39" s="8" t="s">
        <v>13</v>
      </c>
      <c r="C39" s="149" t="s">
        <v>29</v>
      </c>
      <c r="D39" s="137">
        <v>45937</v>
      </c>
      <c r="E39" s="9">
        <v>21.037375251333099</v>
      </c>
      <c r="F39" s="9">
        <v>105.785973209079</v>
      </c>
      <c r="G39" s="20">
        <v>8.43</v>
      </c>
      <c r="H39" s="180">
        <v>1.0069444444444444</v>
      </c>
      <c r="I39" s="180">
        <v>0.33333333333333331</v>
      </c>
      <c r="J39" s="20">
        <v>7.83</v>
      </c>
      <c r="K39" s="8" t="s">
        <v>456</v>
      </c>
      <c r="L39" s="204">
        <v>100</v>
      </c>
      <c r="M39" s="35">
        <v>150</v>
      </c>
      <c r="N39" s="13" t="s">
        <v>486</v>
      </c>
      <c r="O39" s="33" t="s">
        <v>56</v>
      </c>
      <c r="Q39" s="269">
        <v>157.38999999999999</v>
      </c>
      <c r="R39" s="213">
        <v>85.65</v>
      </c>
      <c r="S39" s="277">
        <v>133.80000000000001</v>
      </c>
      <c r="T39" s="278" t="s">
        <v>563</v>
      </c>
      <c r="U39" s="278" t="s">
        <v>562</v>
      </c>
      <c r="V39" s="15"/>
      <c r="W39" s="15"/>
      <c r="X39" s="15"/>
      <c r="Y39" s="16"/>
    </row>
    <row r="40" spans="1:25" ht="56.25" customHeight="1" x14ac:dyDescent="0.35">
      <c r="A40" s="10">
        <v>39</v>
      </c>
      <c r="B40" s="36" t="s">
        <v>57</v>
      </c>
      <c r="C40" s="150" t="s">
        <v>58</v>
      </c>
      <c r="D40" s="137">
        <v>45197</v>
      </c>
      <c r="E40" s="25">
        <v>21.001740000000002</v>
      </c>
      <c r="F40" s="25">
        <v>105.87363999999999</v>
      </c>
      <c r="G40" s="20">
        <v>11.2</v>
      </c>
      <c r="H40" s="180">
        <v>1</v>
      </c>
      <c r="I40" s="180">
        <v>0.25</v>
      </c>
      <c r="J40" s="20">
        <v>6</v>
      </c>
      <c r="K40" s="8" t="s">
        <v>456</v>
      </c>
      <c r="L40" s="204">
        <v>40</v>
      </c>
      <c r="M40" s="35">
        <v>56.7</v>
      </c>
      <c r="N40" s="13" t="s">
        <v>486</v>
      </c>
      <c r="O40" s="33" t="s">
        <v>59</v>
      </c>
      <c r="Q40" s="269">
        <v>68.59</v>
      </c>
      <c r="R40" s="213">
        <v>264.97000000000003</v>
      </c>
      <c r="S40" s="277">
        <v>38.299999999999997</v>
      </c>
      <c r="T40" s="278" t="s">
        <v>471</v>
      </c>
      <c r="U40" s="278" t="s">
        <v>562</v>
      </c>
      <c r="V40" s="15"/>
      <c r="W40" s="15"/>
      <c r="X40" s="15"/>
      <c r="Y40" s="16"/>
    </row>
    <row r="41" spans="1:25" ht="56.25" customHeight="1" x14ac:dyDescent="0.35">
      <c r="A41" s="8">
        <v>40</v>
      </c>
      <c r="B41" s="36" t="s">
        <v>57</v>
      </c>
      <c r="C41" s="150" t="s">
        <v>60</v>
      </c>
      <c r="D41" s="137">
        <v>45197</v>
      </c>
      <c r="E41" s="25">
        <v>21.058678428720899</v>
      </c>
      <c r="F41" s="25">
        <v>105.78873445015201</v>
      </c>
      <c r="G41" s="20">
        <v>8.3000000000000007</v>
      </c>
      <c r="H41" s="180">
        <v>1</v>
      </c>
      <c r="I41" s="180">
        <v>0.25</v>
      </c>
      <c r="J41" s="20">
        <v>6</v>
      </c>
      <c r="K41" s="8" t="s">
        <v>456</v>
      </c>
      <c r="L41" s="204">
        <v>40</v>
      </c>
      <c r="M41" s="35">
        <v>56.7</v>
      </c>
      <c r="N41" s="13" t="s">
        <v>486</v>
      </c>
      <c r="O41" s="33" t="s">
        <v>59</v>
      </c>
      <c r="Q41" s="269">
        <v>68.59</v>
      </c>
      <c r="R41" s="213">
        <v>207.62</v>
      </c>
      <c r="S41" s="277">
        <v>38</v>
      </c>
      <c r="T41" s="278" t="s">
        <v>471</v>
      </c>
      <c r="U41" s="278" t="s">
        <v>562</v>
      </c>
      <c r="V41" s="15"/>
      <c r="W41" s="15"/>
      <c r="X41" s="15"/>
      <c r="Y41" s="16"/>
    </row>
    <row r="42" spans="1:25" ht="56.25" customHeight="1" x14ac:dyDescent="0.35">
      <c r="A42" s="8">
        <v>41</v>
      </c>
      <c r="B42" s="36" t="s">
        <v>57</v>
      </c>
      <c r="C42" s="150" t="s">
        <v>61</v>
      </c>
      <c r="D42" s="137">
        <v>45197</v>
      </c>
      <c r="E42" s="25">
        <v>21.01362</v>
      </c>
      <c r="F42" s="25">
        <v>105.85235</v>
      </c>
      <c r="G42" s="20">
        <v>10.87</v>
      </c>
      <c r="H42" s="180">
        <v>1</v>
      </c>
      <c r="I42" s="180">
        <v>0.25</v>
      </c>
      <c r="J42" s="20">
        <v>6</v>
      </c>
      <c r="K42" s="8" t="s">
        <v>456</v>
      </c>
      <c r="L42" s="204">
        <v>40</v>
      </c>
      <c r="M42" s="35">
        <v>56.7</v>
      </c>
      <c r="N42" s="13" t="s">
        <v>486</v>
      </c>
      <c r="O42" s="33" t="s">
        <v>59</v>
      </c>
      <c r="Q42" s="269">
        <v>68.59</v>
      </c>
      <c r="R42" s="213">
        <v>388.6</v>
      </c>
      <c r="S42" s="277">
        <v>38.299999999999997</v>
      </c>
      <c r="T42" s="278" t="s">
        <v>471</v>
      </c>
      <c r="U42" s="278" t="s">
        <v>562</v>
      </c>
      <c r="V42" s="15"/>
      <c r="W42" s="15"/>
      <c r="X42" s="15"/>
      <c r="Y42" s="16"/>
    </row>
    <row r="43" spans="1:25" ht="56.25" customHeight="1" x14ac:dyDescent="0.35">
      <c r="A43" s="10">
        <v>42</v>
      </c>
      <c r="B43" s="36" t="s">
        <v>57</v>
      </c>
      <c r="C43" s="150" t="s">
        <v>62</v>
      </c>
      <c r="D43" s="137">
        <v>45197</v>
      </c>
      <c r="E43" s="25">
        <v>21.015139999999999</v>
      </c>
      <c r="F43" s="25">
        <v>105.84921</v>
      </c>
      <c r="G43" s="20">
        <v>14.94</v>
      </c>
      <c r="H43" s="180">
        <v>1</v>
      </c>
      <c r="I43" s="180">
        <v>0.25</v>
      </c>
      <c r="J43" s="20">
        <v>6</v>
      </c>
      <c r="K43" s="8" t="s">
        <v>456</v>
      </c>
      <c r="L43" s="204">
        <v>40</v>
      </c>
      <c r="M43" s="35">
        <v>56.7</v>
      </c>
      <c r="N43" s="13" t="s">
        <v>486</v>
      </c>
      <c r="O43" s="33" t="s">
        <v>59</v>
      </c>
      <c r="Q43" s="269">
        <v>68.59</v>
      </c>
      <c r="R43" s="213">
        <v>366.29</v>
      </c>
      <c r="S43" s="277">
        <v>38.299999999999997</v>
      </c>
      <c r="T43" s="278" t="s">
        <v>471</v>
      </c>
      <c r="U43" s="278" t="s">
        <v>562</v>
      </c>
      <c r="V43" s="15"/>
      <c r="W43" s="15"/>
      <c r="X43" s="15"/>
      <c r="Y43" s="16"/>
    </row>
    <row r="44" spans="1:25" ht="56.25" customHeight="1" x14ac:dyDescent="0.35">
      <c r="A44" s="8">
        <v>43</v>
      </c>
      <c r="B44" s="36" t="s">
        <v>57</v>
      </c>
      <c r="C44" s="150" t="s">
        <v>63</v>
      </c>
      <c r="D44" s="137">
        <v>45197</v>
      </c>
      <c r="E44" s="25">
        <v>21.01342</v>
      </c>
      <c r="F44" s="25">
        <v>105.85791</v>
      </c>
      <c r="G44" s="20">
        <v>14.93</v>
      </c>
      <c r="H44" s="180">
        <v>1</v>
      </c>
      <c r="I44" s="180">
        <v>0.25</v>
      </c>
      <c r="J44" s="20">
        <v>6</v>
      </c>
      <c r="K44" s="8" t="s">
        <v>456</v>
      </c>
      <c r="L44" s="204">
        <v>40</v>
      </c>
      <c r="M44" s="35">
        <v>56.7</v>
      </c>
      <c r="N44" s="13" t="s">
        <v>486</v>
      </c>
      <c r="O44" s="33" t="s">
        <v>59</v>
      </c>
      <c r="Q44" s="269">
        <v>68.59</v>
      </c>
      <c r="R44" s="213">
        <v>160.66</v>
      </c>
      <c r="S44" s="277">
        <v>38.299999999999997</v>
      </c>
      <c r="T44" s="278" t="s">
        <v>471</v>
      </c>
      <c r="U44" s="278" t="s">
        <v>562</v>
      </c>
      <c r="V44" s="15"/>
      <c r="W44" s="15"/>
      <c r="X44" s="15"/>
      <c r="Y44" s="16"/>
    </row>
    <row r="45" spans="1:25" ht="56.25" customHeight="1" x14ac:dyDescent="0.35">
      <c r="A45" s="8">
        <v>44</v>
      </c>
      <c r="B45" s="36" t="s">
        <v>57</v>
      </c>
      <c r="C45" s="150" t="s">
        <v>62</v>
      </c>
      <c r="D45" s="137">
        <v>45424</v>
      </c>
      <c r="E45" s="25">
        <v>21.015139999999999</v>
      </c>
      <c r="F45" s="25">
        <v>105.84921</v>
      </c>
      <c r="G45" s="20">
        <v>14.94</v>
      </c>
      <c r="H45" s="180">
        <v>0.79166666666666663</v>
      </c>
      <c r="I45" s="180">
        <v>0.9375</v>
      </c>
      <c r="J45" s="20">
        <v>3.5</v>
      </c>
      <c r="K45" s="8" t="s">
        <v>456</v>
      </c>
      <c r="L45" s="204">
        <v>40</v>
      </c>
      <c r="M45" s="35">
        <v>127</v>
      </c>
      <c r="N45" s="37" t="s">
        <v>469</v>
      </c>
      <c r="O45" s="33" t="s">
        <v>64</v>
      </c>
      <c r="Q45" s="269">
        <v>8.17</v>
      </c>
      <c r="R45" s="213">
        <v>366.29</v>
      </c>
      <c r="S45" s="277">
        <v>49</v>
      </c>
      <c r="T45" s="278" t="s">
        <v>471</v>
      </c>
      <c r="U45" s="278" t="s">
        <v>562</v>
      </c>
      <c r="V45" s="15"/>
      <c r="W45" s="15"/>
      <c r="X45" s="15"/>
      <c r="Y45" s="16"/>
    </row>
    <row r="46" spans="1:25" ht="56.25" customHeight="1" x14ac:dyDescent="0.35">
      <c r="A46" s="10">
        <v>45</v>
      </c>
      <c r="B46" s="36" t="s">
        <v>57</v>
      </c>
      <c r="C46" s="150" t="s">
        <v>65</v>
      </c>
      <c r="D46" s="137">
        <v>45424</v>
      </c>
      <c r="E46" s="25">
        <v>21.019880000000001</v>
      </c>
      <c r="F46" s="25">
        <v>105.84688</v>
      </c>
      <c r="G46" s="20">
        <v>8</v>
      </c>
      <c r="H46" s="180">
        <v>0.79166666666666663</v>
      </c>
      <c r="I46" s="180">
        <v>0.9375</v>
      </c>
      <c r="J46" s="20">
        <v>3.5</v>
      </c>
      <c r="K46" s="8" t="s">
        <v>456</v>
      </c>
      <c r="L46" s="204">
        <v>40</v>
      </c>
      <c r="M46" s="35">
        <v>127</v>
      </c>
      <c r="N46" s="37" t="s">
        <v>469</v>
      </c>
      <c r="O46" s="33" t="s">
        <v>64</v>
      </c>
      <c r="Q46" s="269">
        <v>8.17</v>
      </c>
      <c r="R46" s="213">
        <v>97.01</v>
      </c>
      <c r="S46" s="277">
        <v>49</v>
      </c>
      <c r="T46" s="278" t="s">
        <v>471</v>
      </c>
      <c r="U46" s="278" t="s">
        <v>562</v>
      </c>
      <c r="V46" s="15"/>
      <c r="W46" s="15"/>
      <c r="X46" s="15"/>
      <c r="Y46" s="16"/>
    </row>
    <row r="47" spans="1:25" ht="56.25" customHeight="1" x14ac:dyDescent="0.35">
      <c r="A47" s="8">
        <v>46</v>
      </c>
      <c r="B47" s="36" t="s">
        <v>57</v>
      </c>
      <c r="C47" s="150" t="s">
        <v>66</v>
      </c>
      <c r="D47" s="137">
        <v>45424</v>
      </c>
      <c r="E47" s="25">
        <v>21.021229999999999</v>
      </c>
      <c r="F47" s="25">
        <v>105.84632000000001</v>
      </c>
      <c r="G47" s="20">
        <v>11.77</v>
      </c>
      <c r="H47" s="180">
        <v>0.79166666666666663</v>
      </c>
      <c r="I47" s="180">
        <v>0.9375</v>
      </c>
      <c r="J47" s="20">
        <v>3.5</v>
      </c>
      <c r="K47" s="8" t="s">
        <v>456</v>
      </c>
      <c r="L47" s="204">
        <v>40</v>
      </c>
      <c r="M47" s="35">
        <v>127</v>
      </c>
      <c r="N47" s="37" t="s">
        <v>469</v>
      </c>
      <c r="O47" s="33" t="s">
        <v>64</v>
      </c>
      <c r="Q47" s="269">
        <v>8.17</v>
      </c>
      <c r="R47" s="213">
        <v>228.66</v>
      </c>
      <c r="S47" s="277">
        <v>33.1</v>
      </c>
      <c r="T47" s="278" t="s">
        <v>471</v>
      </c>
      <c r="U47" s="278" t="s">
        <v>562</v>
      </c>
      <c r="V47" s="15"/>
      <c r="W47" s="15"/>
      <c r="X47" s="15"/>
      <c r="Y47" s="16"/>
    </row>
    <row r="48" spans="1:25" ht="56.25" customHeight="1" x14ac:dyDescent="0.35">
      <c r="A48" s="8">
        <v>47</v>
      </c>
      <c r="B48" s="36" t="s">
        <v>57</v>
      </c>
      <c r="C48" s="149" t="s">
        <v>67</v>
      </c>
      <c r="D48" s="137">
        <v>45424</v>
      </c>
      <c r="E48" s="25">
        <v>21.058678428720899</v>
      </c>
      <c r="F48" s="25">
        <v>105.78873445015201</v>
      </c>
      <c r="G48" s="20">
        <v>8.3000000000000007</v>
      </c>
      <c r="H48" s="180">
        <v>0.83333333333333337</v>
      </c>
      <c r="I48" s="180">
        <v>0.91666666666666663</v>
      </c>
      <c r="J48" s="20">
        <v>2</v>
      </c>
      <c r="K48" s="8" t="s">
        <v>456</v>
      </c>
      <c r="L48" s="204">
        <v>20</v>
      </c>
      <c r="M48" s="35">
        <v>80</v>
      </c>
      <c r="N48" s="37" t="s">
        <v>469</v>
      </c>
      <c r="O48" s="38" t="s">
        <v>68</v>
      </c>
      <c r="Q48" s="269">
        <v>8.17</v>
      </c>
      <c r="R48" s="213">
        <v>207.62</v>
      </c>
      <c r="S48" s="277">
        <v>33.1</v>
      </c>
      <c r="T48" s="278" t="s">
        <v>471</v>
      </c>
      <c r="U48" s="278" t="s">
        <v>562</v>
      </c>
      <c r="V48" s="15"/>
      <c r="W48" s="15"/>
      <c r="X48" s="15"/>
      <c r="Y48" s="16"/>
    </row>
    <row r="49" spans="1:25" ht="56.25" customHeight="1" x14ac:dyDescent="0.35">
      <c r="A49" s="10">
        <v>48</v>
      </c>
      <c r="B49" s="36" t="s">
        <v>57</v>
      </c>
      <c r="C49" s="149" t="s">
        <v>69</v>
      </c>
      <c r="D49" s="137">
        <v>45545</v>
      </c>
      <c r="E49" s="25">
        <v>21.004549999999998</v>
      </c>
      <c r="F49" s="25">
        <v>105.87018</v>
      </c>
      <c r="G49" s="20">
        <v>14.76</v>
      </c>
      <c r="H49" s="180">
        <v>0.33333333333333331</v>
      </c>
      <c r="I49" s="180">
        <v>0.5</v>
      </c>
      <c r="J49" s="20">
        <v>4</v>
      </c>
      <c r="K49" s="8" t="s">
        <v>456</v>
      </c>
      <c r="L49" s="204">
        <v>30</v>
      </c>
      <c r="M49" s="35">
        <v>80</v>
      </c>
      <c r="N49" s="37" t="s">
        <v>469</v>
      </c>
      <c r="O49" s="33" t="s">
        <v>70</v>
      </c>
      <c r="Q49" s="269">
        <v>69.239999999999995</v>
      </c>
      <c r="R49" s="213">
        <v>230.4</v>
      </c>
      <c r="S49" s="277">
        <v>27.4</v>
      </c>
      <c r="T49" s="278" t="s">
        <v>471</v>
      </c>
      <c r="U49" s="278" t="s">
        <v>562</v>
      </c>
      <c r="V49" s="15"/>
      <c r="W49" s="15"/>
      <c r="X49" s="15"/>
      <c r="Y49" s="16"/>
    </row>
    <row r="50" spans="1:25" ht="56.25" customHeight="1" x14ac:dyDescent="0.35">
      <c r="A50" s="8">
        <v>49</v>
      </c>
      <c r="B50" s="36" t="s">
        <v>57</v>
      </c>
      <c r="C50" s="149" t="s">
        <v>71</v>
      </c>
      <c r="D50" s="137">
        <v>45545</v>
      </c>
      <c r="E50" s="25">
        <v>21.00301</v>
      </c>
      <c r="F50" s="25">
        <v>105.86424</v>
      </c>
      <c r="G50" s="20">
        <v>11.53</v>
      </c>
      <c r="H50" s="180">
        <v>0.33333333333333331</v>
      </c>
      <c r="I50" s="180">
        <v>0.5</v>
      </c>
      <c r="J50" s="20">
        <v>4</v>
      </c>
      <c r="K50" s="8" t="s">
        <v>456</v>
      </c>
      <c r="L50" s="204">
        <v>30</v>
      </c>
      <c r="M50" s="35">
        <v>80</v>
      </c>
      <c r="N50" s="37" t="s">
        <v>469</v>
      </c>
      <c r="O50" s="33" t="s">
        <v>70</v>
      </c>
      <c r="Q50" s="269">
        <v>69.239999999999995</v>
      </c>
      <c r="R50" s="213">
        <v>275.82</v>
      </c>
      <c r="S50" s="277">
        <v>27.4</v>
      </c>
      <c r="T50" s="278" t="s">
        <v>471</v>
      </c>
      <c r="U50" s="278" t="s">
        <v>562</v>
      </c>
      <c r="V50" s="15"/>
      <c r="W50" s="15"/>
      <c r="X50" s="15"/>
      <c r="Y50" s="16"/>
    </row>
    <row r="51" spans="1:25" ht="56.25" customHeight="1" x14ac:dyDescent="0.35">
      <c r="A51" s="8">
        <v>50</v>
      </c>
      <c r="B51" s="36" t="s">
        <v>57</v>
      </c>
      <c r="C51" s="149" t="s">
        <v>72</v>
      </c>
      <c r="D51" s="137">
        <v>45545</v>
      </c>
      <c r="E51" s="25">
        <v>21.00103</v>
      </c>
      <c r="F51" s="25">
        <v>105.86868</v>
      </c>
      <c r="G51" s="20">
        <v>8.16</v>
      </c>
      <c r="H51" s="180">
        <v>0.33333333333333331</v>
      </c>
      <c r="I51" s="180">
        <v>0.5</v>
      </c>
      <c r="J51" s="20">
        <v>4</v>
      </c>
      <c r="K51" s="8" t="s">
        <v>456</v>
      </c>
      <c r="L51" s="204">
        <v>30</v>
      </c>
      <c r="M51" s="35">
        <v>80</v>
      </c>
      <c r="N51" s="37" t="s">
        <v>469</v>
      </c>
      <c r="O51" s="33" t="s">
        <v>70</v>
      </c>
      <c r="Q51" s="269">
        <v>69.239999999999995</v>
      </c>
      <c r="R51" s="213">
        <v>481.71</v>
      </c>
      <c r="S51" s="277">
        <v>27.4</v>
      </c>
      <c r="T51" s="278" t="s">
        <v>471</v>
      </c>
      <c r="U51" s="278" t="s">
        <v>562</v>
      </c>
      <c r="V51" s="15"/>
      <c r="W51" s="15"/>
      <c r="X51" s="15"/>
      <c r="Y51" s="16"/>
    </row>
    <row r="52" spans="1:25" ht="56.25" customHeight="1" x14ac:dyDescent="0.35">
      <c r="A52" s="10">
        <v>51</v>
      </c>
      <c r="B52" s="36" t="s">
        <v>57</v>
      </c>
      <c r="C52" s="149" t="s">
        <v>73</v>
      </c>
      <c r="D52" s="137">
        <v>45545</v>
      </c>
      <c r="E52" s="25">
        <v>21.015170000000001</v>
      </c>
      <c r="F52" s="25">
        <v>105.8582</v>
      </c>
      <c r="G52" s="20">
        <v>13.45</v>
      </c>
      <c r="H52" s="180">
        <v>0.33333333333333331</v>
      </c>
      <c r="I52" s="180">
        <v>0.5</v>
      </c>
      <c r="J52" s="20">
        <v>4</v>
      </c>
      <c r="K52" s="8" t="s">
        <v>456</v>
      </c>
      <c r="L52" s="204">
        <v>30</v>
      </c>
      <c r="M52" s="35">
        <v>80</v>
      </c>
      <c r="N52" s="37" t="s">
        <v>469</v>
      </c>
      <c r="O52" s="33" t="s">
        <v>70</v>
      </c>
      <c r="Q52" s="269">
        <v>69.239999999999995</v>
      </c>
      <c r="R52" s="213">
        <v>322.48</v>
      </c>
      <c r="S52" s="277">
        <v>27.4</v>
      </c>
      <c r="T52" s="278" t="s">
        <v>471</v>
      </c>
      <c r="U52" s="278" t="s">
        <v>562</v>
      </c>
      <c r="V52" s="15"/>
      <c r="W52" s="15"/>
      <c r="X52" s="15"/>
      <c r="Y52" s="16"/>
    </row>
    <row r="53" spans="1:25" ht="56.25" customHeight="1" x14ac:dyDescent="0.35">
      <c r="A53" s="8">
        <v>52</v>
      </c>
      <c r="B53" s="36" t="s">
        <v>57</v>
      </c>
      <c r="C53" s="149" t="s">
        <v>74</v>
      </c>
      <c r="D53" s="137">
        <v>45545</v>
      </c>
      <c r="E53" s="25">
        <v>21.016259999999999</v>
      </c>
      <c r="F53" s="25">
        <v>105.85474000000001</v>
      </c>
      <c r="G53" s="20">
        <v>10.6</v>
      </c>
      <c r="H53" s="180">
        <v>0.33333333333333331</v>
      </c>
      <c r="I53" s="180">
        <v>0.5</v>
      </c>
      <c r="J53" s="20">
        <v>4</v>
      </c>
      <c r="K53" s="8" t="s">
        <v>456</v>
      </c>
      <c r="L53" s="204">
        <v>30</v>
      </c>
      <c r="M53" s="35">
        <v>80</v>
      </c>
      <c r="N53" s="37" t="s">
        <v>469</v>
      </c>
      <c r="O53" s="33" t="s">
        <v>70</v>
      </c>
      <c r="Q53" s="269">
        <v>69.239999999999995</v>
      </c>
      <c r="R53" s="213">
        <v>413.17</v>
      </c>
      <c r="S53" s="277">
        <v>27.4</v>
      </c>
      <c r="T53" s="278" t="s">
        <v>471</v>
      </c>
      <c r="U53" s="278" t="s">
        <v>562</v>
      </c>
      <c r="V53" s="15"/>
      <c r="W53" s="15"/>
      <c r="X53" s="15"/>
      <c r="Y53" s="16"/>
    </row>
    <row r="54" spans="1:25" ht="56.25" customHeight="1" x14ac:dyDescent="0.35">
      <c r="A54" s="8">
        <v>53</v>
      </c>
      <c r="B54" s="36" t="s">
        <v>57</v>
      </c>
      <c r="C54" s="149" t="s">
        <v>75</v>
      </c>
      <c r="D54" s="137">
        <v>45545</v>
      </c>
      <c r="E54" s="25">
        <v>21.007960000000001</v>
      </c>
      <c r="F54" s="25">
        <v>105.8603</v>
      </c>
      <c r="G54" s="20">
        <v>6.56</v>
      </c>
      <c r="H54" s="180">
        <v>0.33333333333333331</v>
      </c>
      <c r="I54" s="180">
        <v>0.5</v>
      </c>
      <c r="J54" s="20">
        <v>4</v>
      </c>
      <c r="K54" s="8" t="s">
        <v>456</v>
      </c>
      <c r="L54" s="204">
        <v>30</v>
      </c>
      <c r="M54" s="35">
        <v>80</v>
      </c>
      <c r="N54" s="37" t="s">
        <v>469</v>
      </c>
      <c r="O54" s="33" t="s">
        <v>70</v>
      </c>
      <c r="Q54" s="269">
        <v>69.239999999999995</v>
      </c>
      <c r="R54" s="213">
        <v>74.53</v>
      </c>
      <c r="S54" s="277">
        <v>27.4</v>
      </c>
      <c r="T54" s="278" t="s">
        <v>471</v>
      </c>
      <c r="U54" s="278" t="s">
        <v>562</v>
      </c>
      <c r="V54" s="15"/>
      <c r="W54" s="15"/>
      <c r="X54" s="15"/>
      <c r="Y54" s="16"/>
    </row>
    <row r="55" spans="1:25" ht="56.25" customHeight="1" x14ac:dyDescent="0.35">
      <c r="A55" s="10">
        <v>54</v>
      </c>
      <c r="B55" s="36" t="s">
        <v>57</v>
      </c>
      <c r="C55" s="149" t="s">
        <v>76</v>
      </c>
      <c r="D55" s="137">
        <v>45545</v>
      </c>
      <c r="E55" s="25">
        <v>21.012799999999999</v>
      </c>
      <c r="F55" s="25">
        <v>105.85835</v>
      </c>
      <c r="G55" s="20">
        <v>11.07</v>
      </c>
      <c r="H55" s="180">
        <v>0.33333333333333331</v>
      </c>
      <c r="I55" s="180">
        <v>0.5</v>
      </c>
      <c r="J55" s="20">
        <v>4</v>
      </c>
      <c r="K55" s="8" t="s">
        <v>456</v>
      </c>
      <c r="L55" s="204">
        <v>30</v>
      </c>
      <c r="M55" s="35">
        <v>80</v>
      </c>
      <c r="N55" s="37" t="s">
        <v>469</v>
      </c>
      <c r="O55" s="33" t="s">
        <v>70</v>
      </c>
      <c r="Q55" s="269">
        <v>69.239999999999995</v>
      </c>
      <c r="R55" s="213">
        <v>178.64</v>
      </c>
      <c r="S55" s="277">
        <v>27.4</v>
      </c>
      <c r="T55" s="278" t="s">
        <v>471</v>
      </c>
      <c r="U55" s="278" t="s">
        <v>562</v>
      </c>
      <c r="V55" s="15"/>
      <c r="W55" s="15"/>
      <c r="X55" s="15"/>
      <c r="Y55" s="16"/>
    </row>
    <row r="56" spans="1:25" ht="56.25" customHeight="1" x14ac:dyDescent="0.35">
      <c r="A56" s="8">
        <v>55</v>
      </c>
      <c r="B56" s="36" t="s">
        <v>57</v>
      </c>
      <c r="C56" s="149" t="s">
        <v>72</v>
      </c>
      <c r="D56" s="137">
        <v>45937</v>
      </c>
      <c r="E56" s="25">
        <v>21.000237723945599</v>
      </c>
      <c r="F56" s="25">
        <v>105.869546912828</v>
      </c>
      <c r="G56" s="20">
        <v>8.49</v>
      </c>
      <c r="H56" s="180">
        <v>0.33333333333333331</v>
      </c>
      <c r="I56" s="180">
        <v>0.39583333333333331</v>
      </c>
      <c r="J56" s="20">
        <v>1.5</v>
      </c>
      <c r="K56" s="8" t="s">
        <v>456</v>
      </c>
      <c r="L56" s="204">
        <v>35</v>
      </c>
      <c r="M56" s="35">
        <v>180</v>
      </c>
      <c r="N56" s="13" t="s">
        <v>486</v>
      </c>
      <c r="O56" s="33" t="s">
        <v>77</v>
      </c>
      <c r="Q56" s="269">
        <v>157.38999999999999</v>
      </c>
      <c r="R56" s="213">
        <v>416.67</v>
      </c>
      <c r="S56" s="277">
        <v>138</v>
      </c>
      <c r="T56" s="278" t="s">
        <v>563</v>
      </c>
      <c r="U56" s="278" t="s">
        <v>562</v>
      </c>
      <c r="V56" s="15"/>
      <c r="W56" s="15"/>
      <c r="X56" s="15"/>
      <c r="Y56" s="16"/>
    </row>
    <row r="57" spans="1:25" ht="56.25" customHeight="1" x14ac:dyDescent="0.35">
      <c r="A57" s="8">
        <v>56</v>
      </c>
      <c r="B57" s="36" t="s">
        <v>57</v>
      </c>
      <c r="C57" s="149" t="s">
        <v>78</v>
      </c>
      <c r="D57" s="137">
        <v>45895</v>
      </c>
      <c r="E57" s="25">
        <v>21.0254867502608</v>
      </c>
      <c r="F57" s="25">
        <v>105.858339486042</v>
      </c>
      <c r="G57" s="20">
        <v>14.41</v>
      </c>
      <c r="H57" s="180">
        <v>0.25</v>
      </c>
      <c r="I57" s="180">
        <v>0.41666666666666669</v>
      </c>
      <c r="J57" s="20">
        <v>4</v>
      </c>
      <c r="K57" s="8" t="s">
        <v>456</v>
      </c>
      <c r="L57" s="204">
        <v>35</v>
      </c>
      <c r="M57" s="39">
        <v>420</v>
      </c>
      <c r="N57" s="37" t="s">
        <v>469</v>
      </c>
      <c r="O57" s="40" t="s">
        <v>79</v>
      </c>
      <c r="Q57" s="269">
        <v>37.61</v>
      </c>
      <c r="R57" s="213">
        <v>464.42</v>
      </c>
      <c r="S57" s="277">
        <v>72.7</v>
      </c>
      <c r="T57" s="278" t="s">
        <v>563</v>
      </c>
      <c r="U57" s="278" t="s">
        <v>562</v>
      </c>
      <c r="V57" s="15"/>
      <c r="W57" s="15"/>
      <c r="X57" s="15"/>
      <c r="Y57" s="16"/>
    </row>
    <row r="58" spans="1:25" ht="56.25" customHeight="1" x14ac:dyDescent="0.35">
      <c r="A58" s="10">
        <v>57</v>
      </c>
      <c r="B58" s="36" t="s">
        <v>57</v>
      </c>
      <c r="C58" s="147" t="s">
        <v>80</v>
      </c>
      <c r="D58" s="137">
        <v>45895</v>
      </c>
      <c r="E58" s="25">
        <v>20.987039974142998</v>
      </c>
      <c r="F58" s="25">
        <v>105.841147895633</v>
      </c>
      <c r="G58" s="20">
        <v>16.420000000000002</v>
      </c>
      <c r="H58" s="180">
        <v>0.25</v>
      </c>
      <c r="I58" s="180">
        <v>0.41666666666666669</v>
      </c>
      <c r="J58" s="20">
        <v>4</v>
      </c>
      <c r="K58" s="8" t="s">
        <v>456</v>
      </c>
      <c r="L58" s="204">
        <v>40</v>
      </c>
      <c r="M58" s="39">
        <v>420</v>
      </c>
      <c r="N58" s="37" t="s">
        <v>469</v>
      </c>
      <c r="O58" s="40" t="s">
        <v>79</v>
      </c>
      <c r="Q58" s="269">
        <v>37.61</v>
      </c>
      <c r="R58" s="213">
        <v>124.85</v>
      </c>
      <c r="S58" s="277">
        <v>72.7</v>
      </c>
      <c r="T58" s="278" t="s">
        <v>563</v>
      </c>
      <c r="U58" s="278" t="s">
        <v>562</v>
      </c>
      <c r="V58" s="15"/>
      <c r="W58" s="15"/>
      <c r="X58" s="15"/>
      <c r="Y58" s="16"/>
    </row>
    <row r="59" spans="1:25" ht="56.25" customHeight="1" x14ac:dyDescent="0.35">
      <c r="A59" s="8">
        <v>58</v>
      </c>
      <c r="B59" s="36" t="s">
        <v>57</v>
      </c>
      <c r="C59" s="149" t="s">
        <v>81</v>
      </c>
      <c r="D59" s="137">
        <v>45937</v>
      </c>
      <c r="E59" s="25">
        <v>21.000896476981801</v>
      </c>
      <c r="F59" s="25">
        <v>105.872578059679</v>
      </c>
      <c r="G59" s="20">
        <v>12.16</v>
      </c>
      <c r="H59" s="180">
        <v>0.33333333333333331</v>
      </c>
      <c r="I59" s="180">
        <v>0.39583333333333331</v>
      </c>
      <c r="J59" s="20">
        <v>1.5</v>
      </c>
      <c r="K59" s="8" t="s">
        <v>456</v>
      </c>
      <c r="L59" s="204">
        <v>35</v>
      </c>
      <c r="M59" s="35">
        <v>180</v>
      </c>
      <c r="N59" s="41" t="s">
        <v>466</v>
      </c>
      <c r="O59" s="33" t="s">
        <v>77</v>
      </c>
      <c r="Q59" s="269">
        <v>157.38999999999999</v>
      </c>
      <c r="R59" s="213">
        <v>392.75</v>
      </c>
      <c r="S59" s="277">
        <v>138</v>
      </c>
      <c r="T59" s="278" t="s">
        <v>563</v>
      </c>
      <c r="U59" s="278" t="s">
        <v>562</v>
      </c>
      <c r="V59" s="15"/>
      <c r="W59" s="15"/>
      <c r="X59" s="15"/>
      <c r="Y59" s="16"/>
    </row>
    <row r="60" spans="1:25" ht="56.25" customHeight="1" x14ac:dyDescent="0.35">
      <c r="A60" s="8">
        <v>59</v>
      </c>
      <c r="B60" s="36" t="s">
        <v>57</v>
      </c>
      <c r="C60" s="150" t="s">
        <v>82</v>
      </c>
      <c r="D60" s="137">
        <v>44785</v>
      </c>
      <c r="E60" s="25">
        <v>20.995280344860799</v>
      </c>
      <c r="F60" s="25">
        <v>105.852066453305</v>
      </c>
      <c r="G60" s="20">
        <v>9.36</v>
      </c>
      <c r="H60" s="180">
        <v>1</v>
      </c>
      <c r="I60" s="180">
        <v>0.20833333333333334</v>
      </c>
      <c r="J60" s="20">
        <v>5</v>
      </c>
      <c r="K60" s="8" t="s">
        <v>456</v>
      </c>
      <c r="L60" s="204">
        <v>30</v>
      </c>
      <c r="M60" s="35">
        <v>172.1</v>
      </c>
      <c r="N60" s="41" t="s">
        <v>466</v>
      </c>
      <c r="O60" s="33" t="s">
        <v>83</v>
      </c>
      <c r="Q60" s="269">
        <v>44.03</v>
      </c>
      <c r="R60" s="213">
        <v>549.79</v>
      </c>
      <c r="S60" s="277">
        <v>37</v>
      </c>
      <c r="T60" s="278" t="s">
        <v>471</v>
      </c>
      <c r="U60" s="278" t="s">
        <v>562</v>
      </c>
      <c r="V60" s="15"/>
      <c r="W60" s="15"/>
      <c r="X60" s="15"/>
      <c r="Y60" s="16"/>
    </row>
    <row r="61" spans="1:25" ht="56.25" customHeight="1" x14ac:dyDescent="0.35">
      <c r="A61" s="10">
        <v>60</v>
      </c>
      <c r="B61" s="36" t="s">
        <v>57</v>
      </c>
      <c r="C61" s="149" t="s">
        <v>72</v>
      </c>
      <c r="D61" s="137">
        <v>44785</v>
      </c>
      <c r="E61" s="25">
        <v>21.000237723945599</v>
      </c>
      <c r="F61" s="25">
        <v>105.869546912828</v>
      </c>
      <c r="G61" s="20">
        <v>8.49</v>
      </c>
      <c r="H61" s="180">
        <v>1</v>
      </c>
      <c r="I61" s="180">
        <v>0.20833333333333334</v>
      </c>
      <c r="J61" s="20">
        <v>5</v>
      </c>
      <c r="K61" s="8" t="s">
        <v>456</v>
      </c>
      <c r="L61" s="204">
        <v>30</v>
      </c>
      <c r="M61" s="35">
        <v>172.1</v>
      </c>
      <c r="N61" s="41" t="s">
        <v>466</v>
      </c>
      <c r="O61" s="33" t="s">
        <v>83</v>
      </c>
      <c r="Q61" s="269">
        <v>44.03</v>
      </c>
      <c r="R61" s="213">
        <v>416.67</v>
      </c>
      <c r="S61" s="277">
        <v>37</v>
      </c>
      <c r="T61" s="278" t="s">
        <v>471</v>
      </c>
      <c r="U61" s="278" t="s">
        <v>562</v>
      </c>
      <c r="V61" s="15"/>
      <c r="W61" s="15"/>
      <c r="X61" s="15"/>
      <c r="Y61" s="16"/>
    </row>
    <row r="62" spans="1:25" ht="56.25" customHeight="1" x14ac:dyDescent="0.35">
      <c r="A62" s="8">
        <v>61</v>
      </c>
      <c r="B62" s="36" t="s">
        <v>57</v>
      </c>
      <c r="C62" s="147" t="s">
        <v>84</v>
      </c>
      <c r="D62" s="137">
        <v>45551</v>
      </c>
      <c r="E62" s="42">
        <v>21.002249979999998</v>
      </c>
      <c r="F62" s="42">
        <v>105.85081030000001</v>
      </c>
      <c r="G62" s="20">
        <v>7.3</v>
      </c>
      <c r="H62" s="180">
        <v>1</v>
      </c>
      <c r="I62" s="180">
        <v>0.20833333333333334</v>
      </c>
      <c r="J62" s="20">
        <v>5</v>
      </c>
      <c r="K62" s="8" t="s">
        <v>456</v>
      </c>
      <c r="L62" s="204">
        <v>30</v>
      </c>
      <c r="M62" s="35">
        <v>115</v>
      </c>
      <c r="N62" s="41" t="s">
        <v>466</v>
      </c>
      <c r="O62" s="43" t="s">
        <v>85</v>
      </c>
      <c r="Q62" s="269">
        <v>5.46</v>
      </c>
      <c r="R62" s="213">
        <v>382.13</v>
      </c>
      <c r="S62" s="277">
        <v>23.3</v>
      </c>
      <c r="T62" s="278" t="s">
        <v>471</v>
      </c>
      <c r="U62" s="278" t="s">
        <v>562</v>
      </c>
      <c r="V62" s="15"/>
      <c r="W62" s="15"/>
      <c r="X62" s="15"/>
      <c r="Y62" s="16"/>
    </row>
    <row r="63" spans="1:25" ht="56.25" customHeight="1" x14ac:dyDescent="0.35">
      <c r="A63" s="8">
        <v>62</v>
      </c>
      <c r="B63" s="36" t="s">
        <v>57</v>
      </c>
      <c r="C63" s="147" t="s">
        <v>86</v>
      </c>
      <c r="D63" s="137">
        <v>45526</v>
      </c>
      <c r="E63" s="25">
        <v>20.995280344860799</v>
      </c>
      <c r="F63" s="25">
        <v>105.852066453305</v>
      </c>
      <c r="G63" s="20">
        <v>9.36</v>
      </c>
      <c r="H63" s="180">
        <v>0.91666666666666663</v>
      </c>
      <c r="I63" s="180">
        <v>4.1666666666666664E-2</v>
      </c>
      <c r="J63" s="20">
        <v>3</v>
      </c>
      <c r="K63" s="8" t="s">
        <v>456</v>
      </c>
      <c r="L63" s="204">
        <v>20</v>
      </c>
      <c r="M63" s="35">
        <v>80</v>
      </c>
      <c r="N63" s="41" t="s">
        <v>466</v>
      </c>
      <c r="O63" s="43" t="s">
        <v>87</v>
      </c>
      <c r="Q63" s="269">
        <v>41.29</v>
      </c>
      <c r="R63" s="213">
        <v>549.79</v>
      </c>
      <c r="S63" s="277">
        <v>20</v>
      </c>
      <c r="T63" s="278" t="s">
        <v>471</v>
      </c>
      <c r="U63" s="278" t="s">
        <v>562</v>
      </c>
      <c r="V63" s="15"/>
      <c r="W63" s="15"/>
      <c r="X63" s="15"/>
      <c r="Y63" s="16"/>
    </row>
    <row r="64" spans="1:25" ht="56.25" customHeight="1" x14ac:dyDescent="0.35">
      <c r="A64" s="10">
        <v>63</v>
      </c>
      <c r="B64" s="44" t="s">
        <v>88</v>
      </c>
      <c r="C64" s="151" t="s">
        <v>89</v>
      </c>
      <c r="D64" s="137">
        <v>45413</v>
      </c>
      <c r="E64" s="25">
        <v>21.068792410225502</v>
      </c>
      <c r="F64" s="25">
        <v>105.788554587495</v>
      </c>
      <c r="G64" s="20">
        <v>7.09</v>
      </c>
      <c r="H64" s="180">
        <v>0.25</v>
      </c>
      <c r="I64" s="180">
        <v>0.375</v>
      </c>
      <c r="J64" s="20">
        <v>3</v>
      </c>
      <c r="K64" s="8" t="s">
        <v>456</v>
      </c>
      <c r="L64" s="47">
        <v>50</v>
      </c>
      <c r="M64" s="45">
        <v>80</v>
      </c>
      <c r="N64" s="41" t="s">
        <v>466</v>
      </c>
      <c r="O64" s="38" t="s">
        <v>90</v>
      </c>
      <c r="Q64" s="269">
        <v>18.07</v>
      </c>
      <c r="R64" s="213">
        <v>278.32</v>
      </c>
      <c r="S64" s="277">
        <v>0.6</v>
      </c>
      <c r="T64" s="278" t="s">
        <v>468</v>
      </c>
      <c r="U64" s="278" t="s">
        <v>562</v>
      </c>
      <c r="V64" s="15"/>
      <c r="W64" s="15"/>
      <c r="X64" s="15"/>
      <c r="Y64" s="16"/>
    </row>
    <row r="65" spans="1:25" ht="56.25" customHeight="1" x14ac:dyDescent="0.35">
      <c r="A65" s="8">
        <v>64</v>
      </c>
      <c r="B65" s="11" t="s">
        <v>88</v>
      </c>
      <c r="C65" s="152" t="s">
        <v>91</v>
      </c>
      <c r="D65" s="137">
        <v>45431</v>
      </c>
      <c r="E65" s="25">
        <v>21.0789063917302</v>
      </c>
      <c r="F65" s="25">
        <v>105.78837472483799</v>
      </c>
      <c r="G65" s="20">
        <v>7.16</v>
      </c>
      <c r="H65" s="180">
        <v>0.70833333333333337</v>
      </c>
      <c r="I65" s="180">
        <v>0.79166666666666663</v>
      </c>
      <c r="J65" s="20">
        <v>2</v>
      </c>
      <c r="K65" s="8" t="s">
        <v>456</v>
      </c>
      <c r="L65" s="175">
        <v>30</v>
      </c>
      <c r="M65" s="46">
        <v>46.1</v>
      </c>
      <c r="N65" s="41" t="s">
        <v>466</v>
      </c>
      <c r="O65" s="38" t="s">
        <v>92</v>
      </c>
      <c r="Q65" s="269">
        <v>18.64</v>
      </c>
      <c r="R65" s="213">
        <v>440.45</v>
      </c>
      <c r="S65" s="277">
        <v>13.2</v>
      </c>
      <c r="T65" s="278" t="s">
        <v>471</v>
      </c>
      <c r="U65" s="278" t="s">
        <v>562</v>
      </c>
      <c r="V65" s="15"/>
      <c r="W65" s="15"/>
      <c r="X65" s="15"/>
      <c r="Y65" s="16"/>
    </row>
    <row r="66" spans="1:25" ht="56.25" customHeight="1" x14ac:dyDescent="0.35">
      <c r="A66" s="8">
        <v>65</v>
      </c>
      <c r="B66" s="44" t="s">
        <v>88</v>
      </c>
      <c r="C66" s="153" t="s">
        <v>93</v>
      </c>
      <c r="D66" s="137">
        <v>45431</v>
      </c>
      <c r="E66" s="25">
        <v>21.089020373234899</v>
      </c>
      <c r="F66" s="25">
        <v>105.78819486218001</v>
      </c>
      <c r="G66" s="20">
        <v>7.08</v>
      </c>
      <c r="H66" s="180">
        <v>0.75</v>
      </c>
      <c r="I66" s="180">
        <v>0.84722222222222221</v>
      </c>
      <c r="J66" s="20">
        <v>2.33</v>
      </c>
      <c r="K66" s="8" t="s">
        <v>456</v>
      </c>
      <c r="L66" s="47">
        <v>40</v>
      </c>
      <c r="M66" s="47">
        <v>70</v>
      </c>
      <c r="N66" s="41" t="s">
        <v>466</v>
      </c>
      <c r="O66" s="38" t="s">
        <v>94</v>
      </c>
      <c r="Q66" s="269">
        <v>18.64</v>
      </c>
      <c r="R66" s="213">
        <v>254.4</v>
      </c>
      <c r="S66" s="277">
        <v>13.2</v>
      </c>
      <c r="T66" s="278" t="s">
        <v>471</v>
      </c>
      <c r="U66" s="278" t="s">
        <v>562</v>
      </c>
      <c r="V66" s="15"/>
      <c r="W66" s="15"/>
      <c r="X66" s="15"/>
      <c r="Y66" s="16"/>
    </row>
    <row r="67" spans="1:25" ht="56.25" customHeight="1" x14ac:dyDescent="0.35">
      <c r="A67" s="10">
        <v>66</v>
      </c>
      <c r="B67" s="44" t="s">
        <v>88</v>
      </c>
      <c r="C67" s="154" t="s">
        <v>95</v>
      </c>
      <c r="D67" s="137">
        <v>45543</v>
      </c>
      <c r="E67" s="25">
        <v>21.005653779614601</v>
      </c>
      <c r="F67" s="25">
        <v>105.745541857202</v>
      </c>
      <c r="G67" s="20">
        <v>10.18</v>
      </c>
      <c r="H67" s="180">
        <v>0.70833333333333337</v>
      </c>
      <c r="I67" s="180">
        <v>0.33333333333333331</v>
      </c>
      <c r="J67" s="192">
        <f>24+7+8</f>
        <v>39</v>
      </c>
      <c r="K67" s="8" t="s">
        <v>456</v>
      </c>
      <c r="L67" s="175">
        <v>30</v>
      </c>
      <c r="M67" s="47">
        <v>70</v>
      </c>
      <c r="N67" s="41" t="s">
        <v>466</v>
      </c>
      <c r="O67" s="177" t="s">
        <v>488</v>
      </c>
      <c r="Q67" s="269">
        <v>64.849999999999994</v>
      </c>
      <c r="R67" s="213">
        <v>287.27999999999997</v>
      </c>
      <c r="S67" s="277">
        <v>23.6</v>
      </c>
      <c r="T67" s="278" t="s">
        <v>471</v>
      </c>
      <c r="U67" s="278" t="s">
        <v>562</v>
      </c>
      <c r="V67" s="15"/>
      <c r="W67" s="15"/>
      <c r="X67" s="15"/>
      <c r="Y67" s="16"/>
    </row>
    <row r="68" spans="1:25" ht="56.25" customHeight="1" x14ac:dyDescent="0.35">
      <c r="A68" s="8">
        <v>67</v>
      </c>
      <c r="B68" s="44" t="s">
        <v>88</v>
      </c>
      <c r="C68" s="155" t="s">
        <v>96</v>
      </c>
      <c r="D68" s="137">
        <v>45543</v>
      </c>
      <c r="E68" s="25">
        <v>20.988883637314299</v>
      </c>
      <c r="F68" s="25">
        <v>105.77139266864801</v>
      </c>
      <c r="G68" s="20">
        <v>9.3800000000000008</v>
      </c>
      <c r="H68" s="180">
        <v>0.70833333333333337</v>
      </c>
      <c r="I68" s="180">
        <v>0.33333333333333331</v>
      </c>
      <c r="J68" s="192">
        <f t="shared" ref="J68:J69" si="0">24+7+8</f>
        <v>39</v>
      </c>
      <c r="K68" s="8" t="s">
        <v>456</v>
      </c>
      <c r="L68" s="175">
        <v>50</v>
      </c>
      <c r="M68" s="47">
        <v>70</v>
      </c>
      <c r="N68" s="41" t="s">
        <v>466</v>
      </c>
      <c r="O68" s="40" t="s">
        <v>97</v>
      </c>
      <c r="Q68" s="269">
        <v>64.849999999999994</v>
      </c>
      <c r="R68" s="213">
        <v>480.79</v>
      </c>
      <c r="S68" s="277">
        <v>23.6</v>
      </c>
      <c r="T68" s="278" t="s">
        <v>471</v>
      </c>
      <c r="U68" s="278" t="s">
        <v>562</v>
      </c>
      <c r="V68" s="15"/>
      <c r="W68" s="15"/>
      <c r="X68" s="15"/>
      <c r="Y68" s="16"/>
    </row>
    <row r="69" spans="1:25" ht="56.25" customHeight="1" x14ac:dyDescent="0.35">
      <c r="A69" s="8">
        <v>68</v>
      </c>
      <c r="B69" s="44" t="s">
        <v>88</v>
      </c>
      <c r="C69" s="154" t="s">
        <v>98</v>
      </c>
      <c r="D69" s="137">
        <v>45543</v>
      </c>
      <c r="E69" s="25">
        <v>21.025181369704899</v>
      </c>
      <c r="F69" s="25">
        <v>105.763306410978</v>
      </c>
      <c r="G69" s="20">
        <v>7.6</v>
      </c>
      <c r="H69" s="180">
        <v>0.70833333333333337</v>
      </c>
      <c r="I69" s="180">
        <v>0.33333333333333331</v>
      </c>
      <c r="J69" s="192">
        <f t="shared" si="0"/>
        <v>39</v>
      </c>
      <c r="K69" s="8" t="s">
        <v>456</v>
      </c>
      <c r="L69" s="175">
        <v>10</v>
      </c>
      <c r="M69" s="47">
        <v>70</v>
      </c>
      <c r="N69" s="41" t="s">
        <v>466</v>
      </c>
      <c r="O69" s="40" t="s">
        <v>97</v>
      </c>
      <c r="Q69" s="269">
        <v>64.849999999999994</v>
      </c>
      <c r="R69" s="213">
        <v>711.77</v>
      </c>
      <c r="S69" s="277">
        <v>23.6</v>
      </c>
      <c r="T69" s="278" t="s">
        <v>471</v>
      </c>
      <c r="U69" s="278" t="s">
        <v>562</v>
      </c>
      <c r="V69" s="15"/>
      <c r="W69" s="15"/>
      <c r="X69" s="15"/>
      <c r="Y69" s="16"/>
    </row>
    <row r="70" spans="1:25" ht="56.25" customHeight="1" x14ac:dyDescent="0.35">
      <c r="A70" s="10">
        <v>69</v>
      </c>
      <c r="B70" s="44" t="s">
        <v>99</v>
      </c>
      <c r="C70" s="155" t="s">
        <v>100</v>
      </c>
      <c r="D70" s="137">
        <v>45497</v>
      </c>
      <c r="E70" s="25">
        <v>20.9982241877638</v>
      </c>
      <c r="F70" s="25">
        <v>105.746034661651</v>
      </c>
      <c r="G70" s="20">
        <v>7.08</v>
      </c>
      <c r="H70" s="180">
        <v>1</v>
      </c>
      <c r="I70" s="180">
        <v>0.29166666666666669</v>
      </c>
      <c r="J70" s="20">
        <v>7</v>
      </c>
      <c r="K70" s="8" t="s">
        <v>456</v>
      </c>
      <c r="L70" s="175">
        <v>20</v>
      </c>
      <c r="M70" s="47">
        <v>100</v>
      </c>
      <c r="N70" s="41" t="s">
        <v>466</v>
      </c>
      <c r="O70" s="33" t="s">
        <v>101</v>
      </c>
      <c r="Q70" s="269">
        <v>16.510000000000002</v>
      </c>
      <c r="R70" s="213">
        <v>27.17</v>
      </c>
      <c r="S70" s="277">
        <v>60.6</v>
      </c>
      <c r="T70" s="278" t="s">
        <v>563</v>
      </c>
      <c r="U70" s="278" t="s">
        <v>562</v>
      </c>
      <c r="V70" s="15"/>
      <c r="W70" s="15"/>
      <c r="X70" s="15"/>
      <c r="Y70" s="16"/>
    </row>
    <row r="71" spans="1:25" ht="56.25" customHeight="1" x14ac:dyDescent="0.35">
      <c r="A71" s="8">
        <v>70</v>
      </c>
      <c r="B71" s="44" t="s">
        <v>99</v>
      </c>
      <c r="C71" s="154" t="s">
        <v>102</v>
      </c>
      <c r="D71" s="137">
        <v>45546</v>
      </c>
      <c r="E71" s="25">
        <v>21.050002063949801</v>
      </c>
      <c r="F71" s="25">
        <v>105.728749539814</v>
      </c>
      <c r="G71" s="20">
        <v>7.02</v>
      </c>
      <c r="H71" s="180">
        <v>1</v>
      </c>
      <c r="I71" s="180">
        <v>0.25</v>
      </c>
      <c r="J71" s="20">
        <v>6</v>
      </c>
      <c r="K71" s="8" t="s">
        <v>456</v>
      </c>
      <c r="L71" s="175">
        <v>50</v>
      </c>
      <c r="M71" s="47">
        <v>100</v>
      </c>
      <c r="N71" s="48" t="s">
        <v>472</v>
      </c>
      <c r="O71" s="33" t="s">
        <v>103</v>
      </c>
      <c r="Q71" s="269">
        <v>51.94</v>
      </c>
      <c r="R71" s="213">
        <v>603.20000000000005</v>
      </c>
      <c r="S71" s="277">
        <v>86.8</v>
      </c>
      <c r="T71" s="278" t="s">
        <v>563</v>
      </c>
      <c r="U71" s="278" t="s">
        <v>562</v>
      </c>
      <c r="V71" s="15"/>
      <c r="W71" s="15"/>
      <c r="X71" s="15"/>
      <c r="Y71" s="16"/>
    </row>
    <row r="72" spans="1:25" ht="56.25" customHeight="1" x14ac:dyDescent="0.35">
      <c r="A72" s="8">
        <v>71</v>
      </c>
      <c r="B72" s="44" t="s">
        <v>99</v>
      </c>
      <c r="C72" s="155" t="s">
        <v>104</v>
      </c>
      <c r="D72" s="137">
        <v>45546</v>
      </c>
      <c r="E72" s="25">
        <v>21.050621014419399</v>
      </c>
      <c r="F72" s="25">
        <v>105.732975110978</v>
      </c>
      <c r="G72" s="20">
        <v>10.23</v>
      </c>
      <c r="H72" s="180">
        <v>1</v>
      </c>
      <c r="I72" s="180">
        <v>0.25</v>
      </c>
      <c r="J72" s="20">
        <v>6</v>
      </c>
      <c r="K72" s="8" t="s">
        <v>456</v>
      </c>
      <c r="L72" s="175">
        <v>50</v>
      </c>
      <c r="M72" s="47">
        <v>80</v>
      </c>
      <c r="N72" s="41" t="s">
        <v>472</v>
      </c>
      <c r="O72" s="33" t="s">
        <v>103</v>
      </c>
      <c r="Q72" s="269">
        <v>51.94</v>
      </c>
      <c r="R72" s="213">
        <v>287.38</v>
      </c>
      <c r="S72" s="277">
        <v>86.8</v>
      </c>
      <c r="T72" s="278" t="s">
        <v>563</v>
      </c>
      <c r="U72" s="278" t="s">
        <v>562</v>
      </c>
      <c r="V72" s="15"/>
      <c r="W72" s="15"/>
      <c r="X72" s="15"/>
      <c r="Y72" s="16"/>
    </row>
    <row r="73" spans="1:25" ht="56.25" customHeight="1" x14ac:dyDescent="0.35">
      <c r="A73" s="10">
        <v>72</v>
      </c>
      <c r="B73" s="44" t="s">
        <v>99</v>
      </c>
      <c r="C73" s="154" t="s">
        <v>105</v>
      </c>
      <c r="D73" s="137">
        <v>45546</v>
      </c>
      <c r="E73" s="25">
        <v>21.036288415209999</v>
      </c>
      <c r="F73" s="25">
        <v>105.750040010978</v>
      </c>
      <c r="G73" s="20">
        <v>7.4</v>
      </c>
      <c r="H73" s="180">
        <v>1</v>
      </c>
      <c r="I73" s="180">
        <v>0.25</v>
      </c>
      <c r="J73" s="20">
        <v>6</v>
      </c>
      <c r="K73" s="8" t="s">
        <v>456</v>
      </c>
      <c r="L73" s="175">
        <v>50</v>
      </c>
      <c r="M73" s="47">
        <v>80</v>
      </c>
      <c r="N73" s="41" t="s">
        <v>472</v>
      </c>
      <c r="O73" s="33" t="s">
        <v>103</v>
      </c>
      <c r="Q73" s="269">
        <v>51.94</v>
      </c>
      <c r="R73" s="213">
        <v>100.44</v>
      </c>
      <c r="S73" s="277">
        <v>86.8</v>
      </c>
      <c r="T73" s="278" t="s">
        <v>563</v>
      </c>
      <c r="U73" s="278" t="s">
        <v>562</v>
      </c>
      <c r="V73" s="15"/>
      <c r="W73" s="15"/>
      <c r="X73" s="15"/>
      <c r="Y73" s="16"/>
    </row>
    <row r="74" spans="1:25" ht="56.25" customHeight="1" x14ac:dyDescent="0.35">
      <c r="A74" s="8">
        <v>73</v>
      </c>
      <c r="B74" s="44" t="s">
        <v>99</v>
      </c>
      <c r="C74" s="156" t="s">
        <v>106</v>
      </c>
      <c r="D74" s="137">
        <v>45511</v>
      </c>
      <c r="E74" s="25">
        <v>20.988883637314299</v>
      </c>
      <c r="F74" s="25">
        <v>105.77139266864801</v>
      </c>
      <c r="G74" s="20">
        <v>9.3800000000000008</v>
      </c>
      <c r="H74" s="20">
        <v>0</v>
      </c>
      <c r="I74" s="20">
        <v>0</v>
      </c>
      <c r="J74" s="20">
        <v>0</v>
      </c>
      <c r="K74" s="26" t="s">
        <v>458</v>
      </c>
      <c r="L74" s="175">
        <v>50</v>
      </c>
      <c r="M74" s="47">
        <v>40</v>
      </c>
      <c r="N74" s="41" t="s">
        <v>466</v>
      </c>
      <c r="O74" s="33" t="s">
        <v>107</v>
      </c>
      <c r="Q74" s="269">
        <v>9.11</v>
      </c>
      <c r="R74" s="213">
        <v>480.79</v>
      </c>
      <c r="S74" s="277">
        <v>0.2</v>
      </c>
      <c r="T74" s="278" t="s">
        <v>468</v>
      </c>
      <c r="U74" s="278" t="s">
        <v>562</v>
      </c>
      <c r="V74" s="15"/>
      <c r="W74" s="15"/>
      <c r="X74" s="15"/>
      <c r="Y74" s="16"/>
    </row>
    <row r="75" spans="1:25" ht="56.25" customHeight="1" x14ac:dyDescent="0.35">
      <c r="A75" s="8">
        <v>74</v>
      </c>
      <c r="B75" s="44" t="s">
        <v>88</v>
      </c>
      <c r="C75" s="157" t="s">
        <v>108</v>
      </c>
      <c r="D75" s="137">
        <v>45551</v>
      </c>
      <c r="E75" s="25">
        <v>20.9859207899231</v>
      </c>
      <c r="F75" s="25">
        <v>105.767926666797</v>
      </c>
      <c r="G75" s="20">
        <v>9.9499999999999993</v>
      </c>
      <c r="H75" s="180">
        <v>8.3333333333333329E-2</v>
      </c>
      <c r="I75" s="180">
        <v>0.29166666666666669</v>
      </c>
      <c r="J75" s="20">
        <v>5</v>
      </c>
      <c r="K75" s="8" t="s">
        <v>456</v>
      </c>
      <c r="L75" s="175">
        <v>10</v>
      </c>
      <c r="M75" s="47">
        <v>116</v>
      </c>
      <c r="N75" s="41" t="s">
        <v>466</v>
      </c>
      <c r="O75" s="33" t="s">
        <v>109</v>
      </c>
      <c r="Q75" s="269">
        <v>5.46</v>
      </c>
      <c r="R75" s="213">
        <v>905.1</v>
      </c>
      <c r="S75" s="277">
        <v>25</v>
      </c>
      <c r="T75" s="278" t="s">
        <v>471</v>
      </c>
      <c r="U75" s="278" t="s">
        <v>562</v>
      </c>
      <c r="V75" s="15"/>
      <c r="W75" s="15"/>
      <c r="X75" s="15"/>
      <c r="Y75" s="16"/>
    </row>
    <row r="76" spans="1:25" ht="56.25" customHeight="1" x14ac:dyDescent="0.35">
      <c r="A76" s="10">
        <v>75</v>
      </c>
      <c r="B76" s="44" t="s">
        <v>88</v>
      </c>
      <c r="C76" s="158" t="s">
        <v>110</v>
      </c>
      <c r="D76" s="137">
        <v>45197</v>
      </c>
      <c r="E76" s="25">
        <v>21.028883516499999</v>
      </c>
      <c r="F76" s="25">
        <v>105.781186113027</v>
      </c>
      <c r="G76" s="20">
        <v>7.51</v>
      </c>
      <c r="H76" s="180">
        <v>1</v>
      </c>
      <c r="I76" s="180">
        <v>0.25</v>
      </c>
      <c r="J76" s="20">
        <v>6</v>
      </c>
      <c r="K76" s="8" t="s">
        <v>456</v>
      </c>
      <c r="L76" s="175">
        <v>40</v>
      </c>
      <c r="M76" s="47">
        <v>124</v>
      </c>
      <c r="N76" s="41" t="s">
        <v>466</v>
      </c>
      <c r="O76" s="40" t="s">
        <v>111</v>
      </c>
      <c r="Q76" s="269">
        <v>68.59</v>
      </c>
      <c r="R76" s="213">
        <v>279.62</v>
      </c>
      <c r="S76" s="277">
        <v>38</v>
      </c>
      <c r="T76" s="278" t="s">
        <v>471</v>
      </c>
      <c r="U76" s="278" t="s">
        <v>562</v>
      </c>
      <c r="V76" s="15"/>
      <c r="W76" s="15"/>
      <c r="X76" s="15"/>
      <c r="Y76" s="16"/>
    </row>
    <row r="77" spans="1:25" ht="56.25" customHeight="1" x14ac:dyDescent="0.35">
      <c r="A77" s="8">
        <v>76</v>
      </c>
      <c r="B77" s="44" t="s">
        <v>88</v>
      </c>
      <c r="C77" s="157" t="s">
        <v>112</v>
      </c>
      <c r="D77" s="137">
        <v>45197</v>
      </c>
      <c r="E77" s="25">
        <v>21.035143099826101</v>
      </c>
      <c r="F77" s="25">
        <v>105.76451528399301</v>
      </c>
      <c r="G77" s="20">
        <v>7.56</v>
      </c>
      <c r="H77" s="180">
        <v>1</v>
      </c>
      <c r="I77" s="180">
        <v>0.25</v>
      </c>
      <c r="J77" s="20">
        <v>6</v>
      </c>
      <c r="K77" s="8" t="s">
        <v>456</v>
      </c>
      <c r="L77" s="175">
        <v>40</v>
      </c>
      <c r="M77" s="47">
        <v>96</v>
      </c>
      <c r="N77" s="41" t="s">
        <v>466</v>
      </c>
      <c r="O77" s="40" t="s">
        <v>111</v>
      </c>
      <c r="Q77" s="269">
        <v>68.59</v>
      </c>
      <c r="R77" s="213">
        <v>498.81</v>
      </c>
      <c r="S77" s="277">
        <v>38</v>
      </c>
      <c r="T77" s="278" t="s">
        <v>471</v>
      </c>
      <c r="U77" s="278" t="s">
        <v>562</v>
      </c>
      <c r="V77" s="15"/>
      <c r="W77" s="15"/>
      <c r="X77" s="15"/>
      <c r="Y77" s="16"/>
    </row>
    <row r="78" spans="1:25" ht="56.25" customHeight="1" x14ac:dyDescent="0.35">
      <c r="A78" s="8">
        <v>77</v>
      </c>
      <c r="B78" s="44" t="s">
        <v>88</v>
      </c>
      <c r="C78" s="156" t="s">
        <v>113</v>
      </c>
      <c r="D78" s="137">
        <v>45551</v>
      </c>
      <c r="E78" s="25">
        <v>20.9881015532074</v>
      </c>
      <c r="F78" s="25">
        <v>105.779279809126</v>
      </c>
      <c r="G78" s="20">
        <v>7.83</v>
      </c>
      <c r="H78" s="180">
        <v>1</v>
      </c>
      <c r="I78" s="180">
        <v>0.25</v>
      </c>
      <c r="J78" s="20">
        <v>6</v>
      </c>
      <c r="K78" s="8" t="s">
        <v>456</v>
      </c>
      <c r="L78" s="175">
        <v>10</v>
      </c>
      <c r="M78" s="47">
        <v>116</v>
      </c>
      <c r="N78" s="41" t="s">
        <v>466</v>
      </c>
      <c r="O78" s="40" t="s">
        <v>111</v>
      </c>
      <c r="Q78" s="269">
        <v>5.46</v>
      </c>
      <c r="R78" s="213">
        <v>128.16999999999999</v>
      </c>
      <c r="S78" s="277">
        <v>25</v>
      </c>
      <c r="T78" s="278" t="s">
        <v>471</v>
      </c>
      <c r="U78" s="278" t="s">
        <v>562</v>
      </c>
      <c r="V78" s="15"/>
      <c r="W78" s="15"/>
      <c r="X78" s="15"/>
      <c r="Y78" s="16"/>
    </row>
    <row r="79" spans="1:25" ht="56.25" customHeight="1" x14ac:dyDescent="0.35">
      <c r="A79" s="10">
        <v>78</v>
      </c>
      <c r="B79" s="44" t="s">
        <v>99</v>
      </c>
      <c r="C79" s="157" t="s">
        <v>21</v>
      </c>
      <c r="D79" s="137">
        <v>45937</v>
      </c>
      <c r="E79" s="9">
        <v>21.018240540989002</v>
      </c>
      <c r="F79" s="9">
        <v>105.782186224421</v>
      </c>
      <c r="G79" s="20">
        <v>6.94</v>
      </c>
      <c r="H79" s="180">
        <v>0.33333333333333331</v>
      </c>
      <c r="I79" s="180">
        <v>0.39583333333333331</v>
      </c>
      <c r="J79" s="20">
        <v>1.5</v>
      </c>
      <c r="K79" s="8" t="s">
        <v>456</v>
      </c>
      <c r="L79" s="175">
        <v>10</v>
      </c>
      <c r="M79" s="47">
        <v>248</v>
      </c>
      <c r="N79" s="41" t="s">
        <v>466</v>
      </c>
      <c r="O79" s="40" t="s">
        <v>114</v>
      </c>
      <c r="Q79" s="269">
        <v>157.38999999999999</v>
      </c>
      <c r="R79" s="213">
        <v>21.46</v>
      </c>
      <c r="S79" s="277">
        <v>119.4</v>
      </c>
      <c r="T79" s="278" t="s">
        <v>563</v>
      </c>
      <c r="U79" s="278" t="s">
        <v>562</v>
      </c>
      <c r="V79" s="15"/>
      <c r="W79" s="15"/>
      <c r="X79" s="15"/>
      <c r="Y79" s="16"/>
    </row>
    <row r="80" spans="1:25" ht="56.25" customHeight="1" x14ac:dyDescent="0.35">
      <c r="A80" s="8">
        <v>79</v>
      </c>
      <c r="B80" s="44" t="s">
        <v>99</v>
      </c>
      <c r="C80" s="156" t="s">
        <v>115</v>
      </c>
      <c r="D80" s="137">
        <v>45937</v>
      </c>
      <c r="E80" s="25">
        <v>21.035720207411799</v>
      </c>
      <c r="F80" s="25">
        <v>105.763795455357</v>
      </c>
      <c r="G80" s="20">
        <v>7.83</v>
      </c>
      <c r="H80" s="180">
        <v>0.33333333333333331</v>
      </c>
      <c r="I80" s="180">
        <v>0.39583333333333331</v>
      </c>
      <c r="J80" s="20">
        <v>1.5</v>
      </c>
      <c r="K80" s="8" t="s">
        <v>456</v>
      </c>
      <c r="L80" s="175">
        <v>10</v>
      </c>
      <c r="M80" s="47">
        <v>248</v>
      </c>
      <c r="N80" s="41" t="s">
        <v>466</v>
      </c>
      <c r="O80" s="40" t="s">
        <v>114</v>
      </c>
      <c r="Q80" s="269">
        <v>157.38999999999999</v>
      </c>
      <c r="R80" s="213">
        <v>510.8</v>
      </c>
      <c r="S80" s="277">
        <v>133.80000000000001</v>
      </c>
      <c r="T80" s="278" t="s">
        <v>563</v>
      </c>
      <c r="U80" s="278" t="s">
        <v>562</v>
      </c>
      <c r="V80" s="15"/>
      <c r="W80" s="15"/>
      <c r="X80" s="15"/>
      <c r="Y80" s="16"/>
    </row>
    <row r="81" spans="1:25" ht="56.25" customHeight="1" x14ac:dyDescent="0.35">
      <c r="A81" s="8">
        <v>80</v>
      </c>
      <c r="B81" s="44" t="s">
        <v>99</v>
      </c>
      <c r="C81" s="147" t="s">
        <v>116</v>
      </c>
      <c r="D81" s="137">
        <v>44710</v>
      </c>
      <c r="E81" s="25">
        <v>21.0312137644312</v>
      </c>
      <c r="F81" s="25">
        <v>105.774599682142</v>
      </c>
      <c r="G81" s="20">
        <v>7.05</v>
      </c>
      <c r="H81" s="180">
        <v>0.58333333333333337</v>
      </c>
      <c r="I81" s="180">
        <v>0.70833333333333337</v>
      </c>
      <c r="J81" s="20">
        <v>3</v>
      </c>
      <c r="K81" s="8" t="s">
        <v>456</v>
      </c>
      <c r="L81" s="175">
        <v>15</v>
      </c>
      <c r="M81" s="47">
        <v>130</v>
      </c>
      <c r="N81" s="41" t="s">
        <v>466</v>
      </c>
      <c r="O81" s="177" t="s">
        <v>489</v>
      </c>
      <c r="Q81" s="269">
        <v>7.99</v>
      </c>
      <c r="R81" s="213">
        <v>412.82</v>
      </c>
      <c r="S81" s="277">
        <v>6.8</v>
      </c>
      <c r="T81" s="278" t="s">
        <v>468</v>
      </c>
      <c r="U81" s="278" t="s">
        <v>562</v>
      </c>
      <c r="V81" s="15"/>
      <c r="W81" s="15"/>
      <c r="X81" s="15"/>
      <c r="Y81" s="16"/>
    </row>
    <row r="82" spans="1:25" ht="56.25" customHeight="1" x14ac:dyDescent="0.35">
      <c r="A82" s="10">
        <v>81</v>
      </c>
      <c r="B82" s="44" t="s">
        <v>99</v>
      </c>
      <c r="C82" s="147" t="s">
        <v>117</v>
      </c>
      <c r="D82" s="137">
        <v>44710</v>
      </c>
      <c r="E82" s="25">
        <v>21.009986760838601</v>
      </c>
      <c r="F82" s="25">
        <v>105.784242668649</v>
      </c>
      <c r="G82" s="20">
        <v>6.98</v>
      </c>
      <c r="H82" s="180">
        <v>0.58333333333333337</v>
      </c>
      <c r="I82" s="180">
        <v>0.70833333333333337</v>
      </c>
      <c r="J82" s="20">
        <v>3</v>
      </c>
      <c r="K82" s="8" t="s">
        <v>456</v>
      </c>
      <c r="L82" s="175">
        <v>30</v>
      </c>
      <c r="M82" s="47">
        <v>130</v>
      </c>
      <c r="N82" s="41" t="s">
        <v>466</v>
      </c>
      <c r="O82" s="40" t="s">
        <v>118</v>
      </c>
      <c r="Q82" s="269">
        <v>7.99</v>
      </c>
      <c r="R82" s="213">
        <v>218.49</v>
      </c>
      <c r="S82" s="277">
        <v>13.3</v>
      </c>
      <c r="T82" s="278" t="s">
        <v>471</v>
      </c>
      <c r="U82" s="278" t="s">
        <v>562</v>
      </c>
      <c r="V82" s="15"/>
      <c r="W82" s="15"/>
      <c r="X82" s="15"/>
      <c r="Y82" s="16"/>
    </row>
    <row r="83" spans="1:25" ht="56.25" customHeight="1" x14ac:dyDescent="0.35">
      <c r="A83" s="8">
        <v>82</v>
      </c>
      <c r="B83" s="44" t="s">
        <v>99</v>
      </c>
      <c r="C83" s="150" t="s">
        <v>119</v>
      </c>
      <c r="D83" s="137">
        <v>45527</v>
      </c>
      <c r="E83" s="25">
        <v>21.022650248595699</v>
      </c>
      <c r="F83" s="25">
        <v>105.776379468649</v>
      </c>
      <c r="G83" s="20">
        <v>8.74</v>
      </c>
      <c r="H83" s="180">
        <v>0.91666666666666663</v>
      </c>
      <c r="I83" s="180">
        <v>0.20833333333333334</v>
      </c>
      <c r="J83" s="20">
        <v>7</v>
      </c>
      <c r="K83" s="8" t="s">
        <v>456</v>
      </c>
      <c r="L83" s="175">
        <v>25</v>
      </c>
      <c r="M83" s="47">
        <v>60</v>
      </c>
      <c r="N83" s="41" t="s">
        <v>466</v>
      </c>
      <c r="O83" s="193" t="s">
        <v>120</v>
      </c>
      <c r="Q83" s="269">
        <v>66.959999999999994</v>
      </c>
      <c r="R83" s="213">
        <v>405.4</v>
      </c>
      <c r="S83" s="277">
        <v>34.299999999999997</v>
      </c>
      <c r="T83" s="278" t="s">
        <v>471</v>
      </c>
      <c r="U83" s="278" t="s">
        <v>562</v>
      </c>
      <c r="V83" s="15"/>
      <c r="W83" s="15"/>
      <c r="X83" s="15"/>
      <c r="Y83" s="16"/>
    </row>
    <row r="84" spans="1:25" ht="56.25" customHeight="1" x14ac:dyDescent="0.35">
      <c r="A84" s="8">
        <v>83</v>
      </c>
      <c r="B84" s="44" t="s">
        <v>99</v>
      </c>
      <c r="C84" s="150" t="s">
        <v>121</v>
      </c>
      <c r="D84" s="137">
        <v>45527</v>
      </c>
      <c r="E84" s="25">
        <v>20.989121938840999</v>
      </c>
      <c r="F84" s="25">
        <v>105.570050724469</v>
      </c>
      <c r="G84" s="20">
        <v>13.23</v>
      </c>
      <c r="H84" s="180">
        <v>0.91666666666666663</v>
      </c>
      <c r="I84" s="180">
        <v>0.20833333333333334</v>
      </c>
      <c r="J84" s="20">
        <v>7</v>
      </c>
      <c r="K84" s="8" t="s">
        <v>456</v>
      </c>
      <c r="L84" s="175">
        <v>25</v>
      </c>
      <c r="M84" s="47">
        <v>60</v>
      </c>
      <c r="N84" s="41" t="s">
        <v>466</v>
      </c>
      <c r="O84" s="40" t="s">
        <v>120</v>
      </c>
      <c r="Q84" s="269">
        <v>66.959999999999994</v>
      </c>
      <c r="R84" s="213">
        <v>94.03</v>
      </c>
      <c r="S84" s="277">
        <v>13.7</v>
      </c>
      <c r="T84" s="278" t="s">
        <v>471</v>
      </c>
      <c r="U84" s="278" t="s">
        <v>562</v>
      </c>
      <c r="V84" s="15"/>
      <c r="W84" s="15"/>
      <c r="X84" s="15"/>
      <c r="Y84" s="16"/>
    </row>
    <row r="85" spans="1:25" ht="56.25" customHeight="1" x14ac:dyDescent="0.35">
      <c r="A85" s="10">
        <v>84</v>
      </c>
      <c r="B85" s="44" t="s">
        <v>99</v>
      </c>
      <c r="C85" s="150" t="s">
        <v>122</v>
      </c>
      <c r="D85" s="137">
        <v>45527</v>
      </c>
      <c r="E85" s="25">
        <v>21.009986760838601</v>
      </c>
      <c r="F85" s="25">
        <v>105.784242668649</v>
      </c>
      <c r="G85" s="20">
        <v>6.98</v>
      </c>
      <c r="H85" s="180">
        <v>0.91666666666666663</v>
      </c>
      <c r="I85" s="180">
        <v>0.20833333333333334</v>
      </c>
      <c r="J85" s="20">
        <v>7</v>
      </c>
      <c r="K85" s="8" t="s">
        <v>456</v>
      </c>
      <c r="L85" s="175">
        <v>25</v>
      </c>
      <c r="M85" s="47">
        <v>60</v>
      </c>
      <c r="N85" s="41" t="s">
        <v>466</v>
      </c>
      <c r="O85" s="40" t="s">
        <v>120</v>
      </c>
      <c r="Q85" s="269">
        <v>66.959999999999994</v>
      </c>
      <c r="R85" s="213">
        <v>218.49</v>
      </c>
      <c r="S85" s="277">
        <v>34.299999999999997</v>
      </c>
      <c r="T85" s="278" t="s">
        <v>471</v>
      </c>
      <c r="U85" s="278" t="s">
        <v>562</v>
      </c>
      <c r="V85" s="15"/>
      <c r="W85" s="15"/>
      <c r="X85" s="15"/>
      <c r="Y85" s="16"/>
    </row>
    <row r="86" spans="1:25" ht="56.25" customHeight="1" x14ac:dyDescent="0.35">
      <c r="A86" s="8">
        <v>85</v>
      </c>
      <c r="B86" s="44" t="s">
        <v>99</v>
      </c>
      <c r="C86" s="150" t="s">
        <v>123</v>
      </c>
      <c r="D86" s="137">
        <v>45527</v>
      </c>
      <c r="E86" s="25">
        <v>21.0333321026269</v>
      </c>
      <c r="F86" s="25">
        <v>105.778823695634</v>
      </c>
      <c r="G86" s="20">
        <v>7.85</v>
      </c>
      <c r="H86" s="180">
        <v>0.91666666666666663</v>
      </c>
      <c r="I86" s="180">
        <v>0.20833333333333334</v>
      </c>
      <c r="J86" s="20">
        <v>7</v>
      </c>
      <c r="K86" s="8" t="s">
        <v>456</v>
      </c>
      <c r="L86" s="175">
        <v>25</v>
      </c>
      <c r="M86" s="47">
        <v>60</v>
      </c>
      <c r="N86" s="41" t="s">
        <v>466</v>
      </c>
      <c r="O86" s="40" t="s">
        <v>120</v>
      </c>
      <c r="Q86" s="269">
        <v>66.959999999999994</v>
      </c>
      <c r="R86" s="213">
        <v>305.95999999999998</v>
      </c>
      <c r="S86" s="277">
        <v>31.3</v>
      </c>
      <c r="T86" s="278" t="e">
        <f>Table_1[[#This Row],[Rain_fall (mm)]]/Table_1[[#This Row],[Factors]]</f>
        <v>#VALUE!</v>
      </c>
      <c r="U86" s="278" t="s">
        <v>562</v>
      </c>
      <c r="V86" s="15"/>
      <c r="W86" s="15"/>
      <c r="X86" s="15"/>
      <c r="Y86" s="16"/>
    </row>
    <row r="87" spans="1:25" ht="56.25" customHeight="1" x14ac:dyDescent="0.35">
      <c r="A87" s="8">
        <v>86</v>
      </c>
      <c r="B87" s="44" t="s">
        <v>99</v>
      </c>
      <c r="C87" s="150" t="s">
        <v>124</v>
      </c>
      <c r="D87" s="137">
        <v>45527</v>
      </c>
      <c r="E87" s="25">
        <v>21.028718509761202</v>
      </c>
      <c r="F87" s="25">
        <v>105.777471241664</v>
      </c>
      <c r="G87" s="20">
        <v>7.33</v>
      </c>
      <c r="H87" s="180">
        <v>0.91666666666666663</v>
      </c>
      <c r="I87" s="180">
        <v>0.20833333333333334</v>
      </c>
      <c r="J87" s="20">
        <v>7</v>
      </c>
      <c r="K87" s="8" t="s">
        <v>456</v>
      </c>
      <c r="L87" s="175">
        <v>25</v>
      </c>
      <c r="M87" s="47">
        <v>60</v>
      </c>
      <c r="N87" s="41" t="s">
        <v>466</v>
      </c>
      <c r="O87" s="40" t="s">
        <v>120</v>
      </c>
      <c r="Q87" s="269">
        <v>66.959999999999994</v>
      </c>
      <c r="R87" s="213">
        <v>550.46</v>
      </c>
      <c r="S87" s="277">
        <v>31.3</v>
      </c>
      <c r="T87" s="278" t="e">
        <f>Table_1[[#This Row],[Rain_fall (mm)]]/Table_1[[#This Row],[Factors]]</f>
        <v>#VALUE!</v>
      </c>
      <c r="U87" s="278" t="s">
        <v>562</v>
      </c>
      <c r="V87" s="15"/>
      <c r="W87" s="15"/>
      <c r="X87" s="15"/>
      <c r="Y87" s="16"/>
    </row>
    <row r="88" spans="1:25" ht="56.25" customHeight="1" x14ac:dyDescent="0.35">
      <c r="A88" s="10">
        <v>87</v>
      </c>
      <c r="B88" s="44" t="s">
        <v>99</v>
      </c>
      <c r="C88" s="150" t="s">
        <v>125</v>
      </c>
      <c r="D88" s="137">
        <v>44785</v>
      </c>
      <c r="E88" s="25">
        <v>20.9881015532074</v>
      </c>
      <c r="F88" s="25">
        <v>105.779279809126</v>
      </c>
      <c r="G88" s="20">
        <v>7.83</v>
      </c>
      <c r="H88" s="180">
        <v>1</v>
      </c>
      <c r="I88" s="180">
        <v>0.20833333333333334</v>
      </c>
      <c r="J88" s="20">
        <v>5</v>
      </c>
      <c r="K88" s="8" t="s">
        <v>456</v>
      </c>
      <c r="L88" s="175">
        <v>20</v>
      </c>
      <c r="M88" s="47">
        <v>219.1</v>
      </c>
      <c r="N88" s="41" t="s">
        <v>466</v>
      </c>
      <c r="O88" s="40" t="s">
        <v>83</v>
      </c>
      <c r="Q88" s="269">
        <v>44.03</v>
      </c>
      <c r="R88" s="213">
        <v>128.16999999999999</v>
      </c>
      <c r="S88" s="277">
        <v>35.299999999999997</v>
      </c>
      <c r="T88" s="278" t="e">
        <f>Table_1[[#This Row],[Rain_fall (mm)]]/Table_1[[#This Row],[Factors]]</f>
        <v>#VALUE!</v>
      </c>
      <c r="U88" s="278" t="s">
        <v>562</v>
      </c>
      <c r="V88" s="15"/>
      <c r="W88" s="15"/>
      <c r="X88" s="15"/>
      <c r="Y88" s="16"/>
    </row>
    <row r="89" spans="1:25" ht="56.25" customHeight="1" x14ac:dyDescent="0.35">
      <c r="A89" s="8">
        <v>88</v>
      </c>
      <c r="B89" s="44" t="s">
        <v>99</v>
      </c>
      <c r="C89" s="150" t="s">
        <v>126</v>
      </c>
      <c r="D89" s="137">
        <v>45544</v>
      </c>
      <c r="E89" s="25">
        <v>21.0233102740807</v>
      </c>
      <c r="F89" s="25">
        <v>105.77432892447</v>
      </c>
      <c r="G89" s="20">
        <v>10.32</v>
      </c>
      <c r="H89" s="180">
        <v>0.72916666666666663</v>
      </c>
      <c r="I89" s="180">
        <v>0.75</v>
      </c>
      <c r="J89" s="20">
        <v>0.5</v>
      </c>
      <c r="K89" s="8" t="s">
        <v>456</v>
      </c>
      <c r="L89" s="175"/>
      <c r="M89" s="47"/>
      <c r="N89" s="41" t="s">
        <v>469</v>
      </c>
      <c r="O89" s="43" t="s">
        <v>127</v>
      </c>
      <c r="Q89" s="269">
        <v>34.090000000000003</v>
      </c>
      <c r="R89" s="213">
        <v>237.6</v>
      </c>
      <c r="S89" s="277">
        <v>33.200000000000003</v>
      </c>
      <c r="T89" s="278" t="e">
        <f>Table_1[[#This Row],[Rain_fall (mm)]]/Table_1[[#This Row],[Factors]]</f>
        <v>#VALUE!</v>
      </c>
      <c r="U89" s="278" t="s">
        <v>562</v>
      </c>
      <c r="V89" s="15"/>
      <c r="W89" s="15"/>
      <c r="X89" s="15"/>
      <c r="Y89" s="16"/>
    </row>
    <row r="90" spans="1:25" ht="56.25" customHeight="1" x14ac:dyDescent="0.35">
      <c r="A90" s="8">
        <v>89</v>
      </c>
      <c r="B90" s="44" t="s">
        <v>88</v>
      </c>
      <c r="C90" s="150" t="s">
        <v>128</v>
      </c>
      <c r="D90" s="137">
        <v>45544</v>
      </c>
      <c r="E90" s="25">
        <v>21.018544695486298</v>
      </c>
      <c r="F90" s="25">
        <v>105.776551239813</v>
      </c>
      <c r="G90" s="20">
        <v>10.02</v>
      </c>
      <c r="H90" s="180">
        <v>0.72916666666666663</v>
      </c>
      <c r="I90" s="180">
        <v>0.75</v>
      </c>
      <c r="J90" s="20">
        <v>0.5</v>
      </c>
      <c r="K90" s="8" t="s">
        <v>456</v>
      </c>
      <c r="L90" s="175"/>
      <c r="M90" s="47"/>
      <c r="N90" s="41" t="s">
        <v>466</v>
      </c>
      <c r="O90" s="43" t="s">
        <v>127</v>
      </c>
      <c r="Q90" s="269">
        <v>34.090000000000003</v>
      </c>
      <c r="R90" s="213">
        <v>360.98</v>
      </c>
      <c r="S90" s="277">
        <v>33.200000000000003</v>
      </c>
      <c r="T90" s="278" t="e">
        <f>Table_1[[#This Row],[Rain_fall (mm)]]/Table_1[[#This Row],[Factors]]</f>
        <v>#VALUE!</v>
      </c>
      <c r="U90" s="278" t="s">
        <v>562</v>
      </c>
      <c r="V90" s="15"/>
      <c r="W90" s="15"/>
      <c r="X90" s="15"/>
      <c r="Y90" s="16"/>
    </row>
    <row r="91" spans="1:25" ht="56.25" customHeight="1" x14ac:dyDescent="0.35">
      <c r="A91" s="10">
        <v>90</v>
      </c>
      <c r="B91" s="44" t="s">
        <v>129</v>
      </c>
      <c r="C91" s="150" t="s">
        <v>130</v>
      </c>
      <c r="D91" s="137">
        <v>43585</v>
      </c>
      <c r="E91" s="25">
        <v>21.007960000000001</v>
      </c>
      <c r="F91" s="25">
        <v>105.83239</v>
      </c>
      <c r="G91" s="20">
        <v>12.02</v>
      </c>
      <c r="H91" s="180">
        <v>0.375</v>
      </c>
      <c r="I91" s="180">
        <v>1</v>
      </c>
      <c r="J91" s="20">
        <v>0.33333333333333331</v>
      </c>
      <c r="K91" s="8" t="s">
        <v>456</v>
      </c>
      <c r="L91" s="175">
        <v>40</v>
      </c>
      <c r="M91" s="12">
        <v>80</v>
      </c>
      <c r="N91" s="41" t="s">
        <v>466</v>
      </c>
      <c r="O91" s="49" t="s">
        <v>490</v>
      </c>
      <c r="Q91" s="269">
        <v>21.64</v>
      </c>
      <c r="R91" s="213">
        <v>65.05</v>
      </c>
      <c r="S91" s="277">
        <v>11.1</v>
      </c>
      <c r="T91" s="278" t="e">
        <f>Table_1[[#This Row],[Rain_fall (mm)]]/Table_1[[#This Row],[Factors]]</f>
        <v>#VALUE!</v>
      </c>
      <c r="U91" s="278" t="s">
        <v>562</v>
      </c>
      <c r="V91" s="15"/>
      <c r="W91" s="15"/>
      <c r="X91" s="15"/>
      <c r="Y91" s="16"/>
    </row>
    <row r="92" spans="1:25" ht="56.25" customHeight="1" x14ac:dyDescent="0.35">
      <c r="A92" s="8">
        <v>91</v>
      </c>
      <c r="B92" s="44" t="s">
        <v>129</v>
      </c>
      <c r="C92" s="150" t="s">
        <v>131</v>
      </c>
      <c r="D92" s="137">
        <v>43585</v>
      </c>
      <c r="E92" s="25">
        <v>21.025459999999999</v>
      </c>
      <c r="F92" s="25">
        <v>105.84325</v>
      </c>
      <c r="G92" s="20">
        <v>11.72</v>
      </c>
      <c r="H92" s="180">
        <v>0.33333333333333331</v>
      </c>
      <c r="I92" s="180">
        <v>0.45833333333333331</v>
      </c>
      <c r="J92" s="20">
        <v>3</v>
      </c>
      <c r="K92" s="8" t="s">
        <v>456</v>
      </c>
      <c r="L92" s="175">
        <v>15</v>
      </c>
      <c r="M92" s="12">
        <v>40</v>
      </c>
      <c r="N92" s="41" t="s">
        <v>466</v>
      </c>
      <c r="O92" s="193" t="s">
        <v>132</v>
      </c>
      <c r="Q92" s="269">
        <v>21.64</v>
      </c>
      <c r="R92" s="213">
        <v>271.67</v>
      </c>
      <c r="S92" s="277">
        <v>14.3</v>
      </c>
      <c r="T92" s="278" t="e">
        <f>Table_1[[#This Row],[Rain_fall (mm)]]/Table_1[[#This Row],[Factors]]</f>
        <v>#VALUE!</v>
      </c>
      <c r="U92" s="278" t="s">
        <v>562</v>
      </c>
      <c r="V92" s="15"/>
      <c r="W92" s="15"/>
      <c r="X92" s="15"/>
      <c r="Y92" s="16"/>
    </row>
    <row r="93" spans="1:25" ht="56.25" customHeight="1" x14ac:dyDescent="0.35">
      <c r="A93" s="8">
        <v>92</v>
      </c>
      <c r="B93" s="44" t="s">
        <v>129</v>
      </c>
      <c r="C93" s="150" t="s">
        <v>133</v>
      </c>
      <c r="D93" s="137">
        <v>43585</v>
      </c>
      <c r="E93" s="25">
        <v>21.000389569764099</v>
      </c>
      <c r="F93" s="25">
        <v>105.83682</v>
      </c>
      <c r="G93" s="20">
        <v>7.43</v>
      </c>
      <c r="H93" s="180">
        <v>0.33333333333333331</v>
      </c>
      <c r="I93" s="180">
        <v>0.45833333333333331</v>
      </c>
      <c r="J93" s="20">
        <v>3</v>
      </c>
      <c r="K93" s="8" t="s">
        <v>456</v>
      </c>
      <c r="L93" s="175">
        <v>10</v>
      </c>
      <c r="M93" s="12">
        <v>40</v>
      </c>
      <c r="N93" s="41" t="s">
        <v>466</v>
      </c>
      <c r="O93" s="49" t="s">
        <v>132</v>
      </c>
      <c r="Q93" s="269">
        <v>21.64</v>
      </c>
      <c r="R93" s="213">
        <v>146.32</v>
      </c>
      <c r="S93" s="277">
        <v>13.2</v>
      </c>
      <c r="T93" s="278" t="e">
        <f>Table_1[[#This Row],[Rain_fall (mm)]]/Table_1[[#This Row],[Factors]]</f>
        <v>#VALUE!</v>
      </c>
      <c r="U93" s="278" t="s">
        <v>562</v>
      </c>
      <c r="V93" s="15"/>
      <c r="W93" s="15"/>
      <c r="X93" s="15"/>
      <c r="Y93" s="16"/>
    </row>
    <row r="94" spans="1:25" ht="56.25" customHeight="1" x14ac:dyDescent="0.35">
      <c r="A94" s="10">
        <v>93</v>
      </c>
      <c r="B94" s="44" t="s">
        <v>129</v>
      </c>
      <c r="C94" s="150" t="s">
        <v>134</v>
      </c>
      <c r="D94" s="137">
        <v>44048</v>
      </c>
      <c r="E94" s="25">
        <v>21.013118380254902</v>
      </c>
      <c r="F94" s="25">
        <v>105.82000326675001</v>
      </c>
      <c r="G94" s="20">
        <v>7.75</v>
      </c>
      <c r="H94" s="180">
        <v>0.66666666666666663</v>
      </c>
      <c r="I94" s="180">
        <v>0.70833333333333337</v>
      </c>
      <c r="J94" s="20">
        <v>1</v>
      </c>
      <c r="K94" s="8" t="s">
        <v>456</v>
      </c>
      <c r="L94" s="175">
        <v>35</v>
      </c>
      <c r="M94" s="12">
        <v>54.8</v>
      </c>
      <c r="N94" s="48" t="s">
        <v>469</v>
      </c>
      <c r="O94" s="49" t="s">
        <v>135</v>
      </c>
      <c r="Q94" s="269">
        <v>17</v>
      </c>
      <c r="R94" s="213">
        <v>314.74</v>
      </c>
      <c r="S94" s="277">
        <v>65.900000000000006</v>
      </c>
      <c r="T94" s="278" t="e">
        <f>Table_1[[#This Row],[Rain_fall (mm)]]/Table_1[[#This Row],[Factors]]</f>
        <v>#VALUE!</v>
      </c>
      <c r="U94" s="278" t="s">
        <v>562</v>
      </c>
      <c r="V94" s="15"/>
      <c r="W94" s="15"/>
      <c r="X94" s="15"/>
      <c r="Y94" s="16"/>
    </row>
    <row r="95" spans="1:25" ht="56.25" customHeight="1" x14ac:dyDescent="0.35">
      <c r="A95" s="8">
        <v>94</v>
      </c>
      <c r="B95" s="44" t="s">
        <v>129</v>
      </c>
      <c r="C95" s="150" t="s">
        <v>136</v>
      </c>
      <c r="D95" s="137">
        <v>44048</v>
      </c>
      <c r="E95" s="42">
        <v>21.003440000000001</v>
      </c>
      <c r="F95" s="42">
        <v>105.81919000000001</v>
      </c>
      <c r="G95" s="20">
        <v>9.84</v>
      </c>
      <c r="H95" s="180">
        <v>0.66666666666666663</v>
      </c>
      <c r="I95" s="180">
        <v>0.70833333333333337</v>
      </c>
      <c r="J95" s="20">
        <v>1</v>
      </c>
      <c r="K95" s="8" t="s">
        <v>456</v>
      </c>
      <c r="L95" s="175">
        <v>35</v>
      </c>
      <c r="M95" s="12">
        <v>54.8</v>
      </c>
      <c r="N95" s="48" t="s">
        <v>469</v>
      </c>
      <c r="O95" s="50" t="s">
        <v>135</v>
      </c>
      <c r="Q95" s="269">
        <v>17</v>
      </c>
      <c r="R95" s="213">
        <v>169.35</v>
      </c>
      <c r="S95" s="277">
        <v>65.900000000000006</v>
      </c>
      <c r="T95" s="278" t="e">
        <f>Table_1[[#This Row],[Rain_fall (mm)]]/Table_1[[#This Row],[Factors]]</f>
        <v>#VALUE!</v>
      </c>
      <c r="U95" s="278" t="s">
        <v>562</v>
      </c>
      <c r="V95" s="15"/>
      <c r="W95" s="15"/>
      <c r="X95" s="15"/>
      <c r="Y95" s="16"/>
    </row>
    <row r="96" spans="1:25" ht="56.25" customHeight="1" x14ac:dyDescent="0.35">
      <c r="A96" s="8">
        <v>95</v>
      </c>
      <c r="B96" s="44" t="s">
        <v>129</v>
      </c>
      <c r="C96" s="150" t="s">
        <v>137</v>
      </c>
      <c r="D96" s="137">
        <v>44060</v>
      </c>
      <c r="E96" s="25">
        <v>20.978480000000001</v>
      </c>
      <c r="F96" s="25">
        <v>105.78701</v>
      </c>
      <c r="G96" s="20">
        <v>11.72</v>
      </c>
      <c r="H96" s="180">
        <v>0.66666666666666663</v>
      </c>
      <c r="I96" s="180">
        <v>0.70833333333333337</v>
      </c>
      <c r="J96" s="20">
        <v>1</v>
      </c>
      <c r="K96" s="8" t="s">
        <v>456</v>
      </c>
      <c r="L96" s="175">
        <v>35</v>
      </c>
      <c r="M96" s="12">
        <v>54.8</v>
      </c>
      <c r="N96" s="48" t="s">
        <v>469</v>
      </c>
      <c r="O96" s="50" t="s">
        <v>135</v>
      </c>
      <c r="Q96" s="269">
        <v>33.07</v>
      </c>
      <c r="R96" s="213">
        <v>276.05</v>
      </c>
      <c r="S96" s="277">
        <v>21.1</v>
      </c>
      <c r="T96" s="278" t="e">
        <f>Table_1[[#This Row],[Rain_fall (mm)]]/Table_1[[#This Row],[Factors]]</f>
        <v>#VALUE!</v>
      </c>
      <c r="U96" s="278" t="s">
        <v>562</v>
      </c>
      <c r="V96" s="15"/>
      <c r="W96" s="15"/>
      <c r="X96" s="15"/>
      <c r="Y96" s="16"/>
    </row>
    <row r="97" spans="1:25" ht="56.25" customHeight="1" x14ac:dyDescent="0.35">
      <c r="A97" s="10">
        <v>96</v>
      </c>
      <c r="B97" s="44" t="s">
        <v>129</v>
      </c>
      <c r="C97" s="150" t="s">
        <v>138</v>
      </c>
      <c r="D97" s="137">
        <v>44060</v>
      </c>
      <c r="E97" s="25">
        <v>21.000389569764099</v>
      </c>
      <c r="F97" s="25">
        <v>105.83682</v>
      </c>
      <c r="G97" s="20">
        <v>9.06</v>
      </c>
      <c r="H97" s="180">
        <v>0.66666666666666663</v>
      </c>
      <c r="I97" s="180">
        <v>0.70833333333333337</v>
      </c>
      <c r="J97" s="20">
        <v>1</v>
      </c>
      <c r="K97" s="8" t="s">
        <v>456</v>
      </c>
      <c r="L97" s="175">
        <v>35</v>
      </c>
      <c r="M97" s="12">
        <v>54.8</v>
      </c>
      <c r="N97" s="48" t="s">
        <v>469</v>
      </c>
      <c r="O97" s="50" t="s">
        <v>135</v>
      </c>
      <c r="Q97" s="269">
        <v>33.07</v>
      </c>
      <c r="R97" s="213">
        <v>146.32</v>
      </c>
      <c r="S97" s="277">
        <v>19.600000000000001</v>
      </c>
      <c r="T97" s="278" t="e">
        <f>Table_1[[#This Row],[Rain_fall (mm)]]/Table_1[[#This Row],[Factors]]</f>
        <v>#VALUE!</v>
      </c>
      <c r="U97" s="278" t="s">
        <v>562</v>
      </c>
      <c r="V97" s="15"/>
      <c r="W97" s="15"/>
      <c r="X97" s="15"/>
      <c r="Y97" s="16"/>
    </row>
    <row r="98" spans="1:25" ht="56.25" customHeight="1" x14ac:dyDescent="0.35">
      <c r="A98" s="8">
        <v>97</v>
      </c>
      <c r="B98" s="44" t="s">
        <v>129</v>
      </c>
      <c r="C98" s="150" t="s">
        <v>134</v>
      </c>
      <c r="D98" s="137">
        <v>44710</v>
      </c>
      <c r="E98" s="25">
        <v>21.013118380254902</v>
      </c>
      <c r="F98" s="25">
        <v>105.82000326675001</v>
      </c>
      <c r="G98" s="20">
        <v>7.75</v>
      </c>
      <c r="H98" s="180">
        <v>0.58333333333333337</v>
      </c>
      <c r="I98" s="180">
        <v>0.66666666666666663</v>
      </c>
      <c r="J98" s="20">
        <v>2</v>
      </c>
      <c r="K98" s="8" t="s">
        <v>456</v>
      </c>
      <c r="L98" s="175">
        <v>100</v>
      </c>
      <c r="M98" s="12">
        <v>138</v>
      </c>
      <c r="N98" s="41" t="s">
        <v>466</v>
      </c>
      <c r="O98" s="194" t="s">
        <v>139</v>
      </c>
      <c r="Q98" s="269">
        <v>7.99</v>
      </c>
      <c r="R98" s="213">
        <v>314.74</v>
      </c>
      <c r="S98" s="277">
        <v>13.3</v>
      </c>
      <c r="T98" s="278" t="e">
        <f>Table_1[[#This Row],[Rain_fall (mm)]]/Table_1[[#This Row],[Factors]]</f>
        <v>#VALUE!</v>
      </c>
      <c r="U98" s="278" t="s">
        <v>562</v>
      </c>
      <c r="V98" s="15"/>
      <c r="W98" s="15"/>
      <c r="X98" s="15"/>
      <c r="Y98" s="16"/>
    </row>
    <row r="99" spans="1:25" ht="56.25" customHeight="1" x14ac:dyDescent="0.35">
      <c r="A99" s="8">
        <v>98</v>
      </c>
      <c r="B99" s="44" t="s">
        <v>129</v>
      </c>
      <c r="C99" s="150" t="s">
        <v>140</v>
      </c>
      <c r="D99" s="137">
        <v>44710</v>
      </c>
      <c r="E99" s="42">
        <v>21.006689999999999</v>
      </c>
      <c r="F99" s="42">
        <v>105.82158</v>
      </c>
      <c r="G99" s="20">
        <v>8.5500000000000007</v>
      </c>
      <c r="H99" s="180">
        <v>0.58333333333333337</v>
      </c>
      <c r="I99" s="180">
        <v>0.66666666666666663</v>
      </c>
      <c r="J99" s="20">
        <v>2</v>
      </c>
      <c r="K99" s="8" t="s">
        <v>456</v>
      </c>
      <c r="L99" s="175">
        <v>100</v>
      </c>
      <c r="M99" s="12">
        <v>138</v>
      </c>
      <c r="N99" s="41" t="s">
        <v>466</v>
      </c>
      <c r="O99" s="51" t="s">
        <v>139</v>
      </c>
      <c r="Q99" s="269">
        <v>7.99</v>
      </c>
      <c r="R99" s="213">
        <v>405.5</v>
      </c>
      <c r="S99" s="277">
        <v>13.3</v>
      </c>
      <c r="T99" s="278" t="e">
        <f>Table_1[[#This Row],[Rain_fall (mm)]]/Table_1[[#This Row],[Factors]]</f>
        <v>#VALUE!</v>
      </c>
      <c r="U99" s="278" t="s">
        <v>562</v>
      </c>
      <c r="V99" s="15"/>
      <c r="W99" s="15"/>
      <c r="X99" s="15"/>
      <c r="Y99" s="16"/>
    </row>
    <row r="100" spans="1:25" ht="56.25" customHeight="1" x14ac:dyDescent="0.35">
      <c r="A100" s="10">
        <v>99</v>
      </c>
      <c r="B100" s="44" t="s">
        <v>129</v>
      </c>
      <c r="C100" s="150" t="s">
        <v>141</v>
      </c>
      <c r="D100" s="137">
        <v>44710</v>
      </c>
      <c r="E100" s="25">
        <v>21.017420000000001</v>
      </c>
      <c r="F100" s="25">
        <v>105.81317</v>
      </c>
      <c r="G100" s="20">
        <v>7.99</v>
      </c>
      <c r="H100" s="180">
        <v>0.58333333333333337</v>
      </c>
      <c r="I100" s="180">
        <v>0.66666666666666663</v>
      </c>
      <c r="J100" s="20">
        <v>2</v>
      </c>
      <c r="K100" s="8" t="s">
        <v>456</v>
      </c>
      <c r="L100" s="175">
        <v>100</v>
      </c>
      <c r="M100" s="12">
        <v>138</v>
      </c>
      <c r="N100" s="41" t="s">
        <v>466</v>
      </c>
      <c r="O100" s="51" t="s">
        <v>139</v>
      </c>
      <c r="Q100" s="269">
        <v>7.99</v>
      </c>
      <c r="R100" s="213">
        <v>443.3</v>
      </c>
      <c r="S100" s="277">
        <v>6.8</v>
      </c>
      <c r="T100" s="278" t="e">
        <f>Table_1[[#This Row],[Rain_fall (mm)]]/Table_1[[#This Row],[Factors]]</f>
        <v>#VALUE!</v>
      </c>
      <c r="U100" s="278" t="s">
        <v>562</v>
      </c>
      <c r="V100" s="15"/>
      <c r="W100" s="15"/>
      <c r="X100" s="15"/>
      <c r="Y100" s="16"/>
    </row>
    <row r="101" spans="1:25" ht="56.25" customHeight="1" x14ac:dyDescent="0.35">
      <c r="A101" s="8">
        <v>100</v>
      </c>
      <c r="B101" s="44" t="s">
        <v>129</v>
      </c>
      <c r="C101" s="150" t="s">
        <v>142</v>
      </c>
      <c r="D101" s="137">
        <v>44710</v>
      </c>
      <c r="E101" s="42">
        <v>21.008220000000001</v>
      </c>
      <c r="F101" s="42">
        <v>105.83376</v>
      </c>
      <c r="G101" s="20">
        <v>7.46</v>
      </c>
      <c r="H101" s="180">
        <v>0.58333333333333337</v>
      </c>
      <c r="I101" s="180">
        <v>0.66666666666666663</v>
      </c>
      <c r="J101" s="20">
        <v>2</v>
      </c>
      <c r="K101" s="8" t="s">
        <v>456</v>
      </c>
      <c r="L101" s="175">
        <v>100</v>
      </c>
      <c r="M101" s="12">
        <v>138</v>
      </c>
      <c r="N101" s="41" t="s">
        <v>466</v>
      </c>
      <c r="O101" s="51" t="s">
        <v>139</v>
      </c>
      <c r="Q101" s="269">
        <v>7.99</v>
      </c>
      <c r="R101" s="213">
        <v>202.15</v>
      </c>
      <c r="S101" s="277">
        <v>13.3</v>
      </c>
      <c r="T101" s="278" t="e">
        <f>Table_1[[#This Row],[Rain_fall (mm)]]/Table_1[[#This Row],[Factors]]</f>
        <v>#VALUE!</v>
      </c>
      <c r="U101" s="278" t="s">
        <v>562</v>
      </c>
      <c r="V101" s="15"/>
      <c r="W101" s="15"/>
      <c r="X101" s="15"/>
      <c r="Y101" s="16"/>
    </row>
    <row r="102" spans="1:25" ht="56.25" customHeight="1" x14ac:dyDescent="0.35">
      <c r="A102" s="8">
        <v>101</v>
      </c>
      <c r="B102" s="44" t="s">
        <v>129</v>
      </c>
      <c r="C102" s="150" t="s">
        <v>143</v>
      </c>
      <c r="D102" s="137">
        <v>45197</v>
      </c>
      <c r="E102" s="42">
        <v>21.007660000000001</v>
      </c>
      <c r="F102" s="42">
        <v>105.84129</v>
      </c>
      <c r="G102" s="20">
        <v>7.73</v>
      </c>
      <c r="H102" s="180">
        <v>0.29166666666666669</v>
      </c>
      <c r="I102" s="180">
        <v>0.5</v>
      </c>
      <c r="J102" s="20">
        <v>5</v>
      </c>
      <c r="K102" s="8" t="s">
        <v>456</v>
      </c>
      <c r="L102" s="175">
        <v>40</v>
      </c>
      <c r="M102" s="12">
        <v>30</v>
      </c>
      <c r="N102" s="41" t="s">
        <v>466</v>
      </c>
      <c r="O102" s="49" t="s">
        <v>144</v>
      </c>
      <c r="Q102" s="269">
        <v>68.59</v>
      </c>
      <c r="R102" s="213">
        <v>118.03</v>
      </c>
      <c r="S102" s="277">
        <v>38.299999999999997</v>
      </c>
      <c r="T102" s="278" t="e">
        <f>Table_1[[#This Row],[Rain_fall (mm)]]/Table_1[[#This Row],[Factors]]</f>
        <v>#VALUE!</v>
      </c>
      <c r="U102" s="278" t="s">
        <v>562</v>
      </c>
      <c r="V102" s="15"/>
      <c r="W102" s="15"/>
      <c r="X102" s="15"/>
      <c r="Y102" s="16"/>
    </row>
    <row r="103" spans="1:25" ht="56.25" customHeight="1" x14ac:dyDescent="0.35">
      <c r="A103" s="10">
        <v>102</v>
      </c>
      <c r="B103" s="44" t="s">
        <v>129</v>
      </c>
      <c r="C103" s="150" t="s">
        <v>145</v>
      </c>
      <c r="D103" s="137">
        <v>45197</v>
      </c>
      <c r="E103" s="42">
        <v>21.029170000000001</v>
      </c>
      <c r="F103" s="42">
        <v>105.84157999999999</v>
      </c>
      <c r="G103" s="20">
        <v>9.6999999999999993</v>
      </c>
      <c r="H103" s="180">
        <v>0.29166666666666669</v>
      </c>
      <c r="I103" s="180">
        <v>0.5</v>
      </c>
      <c r="J103" s="20">
        <v>5</v>
      </c>
      <c r="K103" s="8" t="s">
        <v>456</v>
      </c>
      <c r="L103" s="175">
        <v>40</v>
      </c>
      <c r="M103" s="12">
        <v>30</v>
      </c>
      <c r="N103" s="41" t="s">
        <v>466</v>
      </c>
      <c r="O103" s="49" t="s">
        <v>144</v>
      </c>
      <c r="Q103" s="269">
        <v>68.59</v>
      </c>
      <c r="R103" s="213">
        <v>567.41999999999996</v>
      </c>
      <c r="S103" s="277">
        <v>38</v>
      </c>
      <c r="T103" s="278" t="e">
        <f>Table_1[[#This Row],[Rain_fall (mm)]]/Table_1[[#This Row],[Factors]]</f>
        <v>#VALUE!</v>
      </c>
      <c r="U103" s="278" t="s">
        <v>562</v>
      </c>
      <c r="V103" s="15"/>
      <c r="W103" s="15"/>
      <c r="X103" s="15"/>
      <c r="Y103" s="16"/>
    </row>
    <row r="104" spans="1:25" ht="56.25" customHeight="1" x14ac:dyDescent="0.35">
      <c r="A104" s="8">
        <v>103</v>
      </c>
      <c r="B104" s="44" t="s">
        <v>129</v>
      </c>
      <c r="C104" s="150" t="s">
        <v>146</v>
      </c>
      <c r="D104" s="137">
        <v>45197</v>
      </c>
      <c r="E104" s="42">
        <v>21.007709999999999</v>
      </c>
      <c r="F104" s="42">
        <v>105.82804</v>
      </c>
      <c r="G104" s="20">
        <v>7.83</v>
      </c>
      <c r="H104" s="180">
        <v>0.29166666666666669</v>
      </c>
      <c r="I104" s="180">
        <v>0.5</v>
      </c>
      <c r="J104" s="20">
        <v>5</v>
      </c>
      <c r="K104" s="8" t="s">
        <v>456</v>
      </c>
      <c r="L104" s="175">
        <v>40</v>
      </c>
      <c r="M104" s="12">
        <v>30</v>
      </c>
      <c r="N104" s="41" t="s">
        <v>466</v>
      </c>
      <c r="O104" s="50" t="s">
        <v>144</v>
      </c>
      <c r="Q104" s="269">
        <v>68.59</v>
      </c>
      <c r="R104" s="213">
        <v>38.81</v>
      </c>
      <c r="S104" s="277">
        <v>33</v>
      </c>
      <c r="T104" s="278" t="e">
        <f>Table_1[[#This Row],[Rain_fall (mm)]]/Table_1[[#This Row],[Factors]]</f>
        <v>#VALUE!</v>
      </c>
      <c r="U104" s="278" t="s">
        <v>562</v>
      </c>
      <c r="V104" s="15"/>
      <c r="W104" s="15"/>
      <c r="X104" s="15"/>
      <c r="Y104" s="16"/>
    </row>
    <row r="105" spans="1:25" ht="56.25" customHeight="1" x14ac:dyDescent="0.35">
      <c r="A105" s="8">
        <v>104</v>
      </c>
      <c r="B105" s="44" t="s">
        <v>129</v>
      </c>
      <c r="C105" s="150" t="s">
        <v>147</v>
      </c>
      <c r="D105" s="137">
        <v>45197</v>
      </c>
      <c r="E105" s="42">
        <v>21.002751221421999</v>
      </c>
      <c r="F105" s="42">
        <v>105.82993617044799</v>
      </c>
      <c r="G105" s="20">
        <v>7.99</v>
      </c>
      <c r="H105" s="180">
        <v>0.29166666666666669</v>
      </c>
      <c r="I105" s="180">
        <v>0.5</v>
      </c>
      <c r="J105" s="20">
        <v>5</v>
      </c>
      <c r="K105" s="8" t="s">
        <v>456</v>
      </c>
      <c r="L105" s="175">
        <v>40</v>
      </c>
      <c r="M105" s="12">
        <v>30</v>
      </c>
      <c r="N105" s="41" t="s">
        <v>466</v>
      </c>
      <c r="O105" s="50" t="s">
        <v>144</v>
      </c>
      <c r="Q105" s="269">
        <v>68.59</v>
      </c>
      <c r="R105" s="213">
        <v>114.28</v>
      </c>
      <c r="S105" s="277">
        <v>33</v>
      </c>
      <c r="T105" s="278" t="e">
        <f>Table_1[[#This Row],[Rain_fall (mm)]]/Table_1[[#This Row],[Factors]]</f>
        <v>#VALUE!</v>
      </c>
      <c r="U105" s="278" t="s">
        <v>562</v>
      </c>
      <c r="V105" s="15"/>
      <c r="W105" s="15"/>
      <c r="X105" s="15"/>
      <c r="Y105" s="16"/>
    </row>
    <row r="106" spans="1:25" ht="56.25" customHeight="1" x14ac:dyDescent="0.35">
      <c r="A106" s="10">
        <v>105</v>
      </c>
      <c r="B106" s="44" t="s">
        <v>129</v>
      </c>
      <c r="C106" s="150" t="s">
        <v>148</v>
      </c>
      <c r="D106" s="137">
        <v>45197</v>
      </c>
      <c r="E106" s="42">
        <v>21.0163997637429</v>
      </c>
      <c r="F106" s="42">
        <v>105.828688401796</v>
      </c>
      <c r="G106" s="20">
        <v>6.38</v>
      </c>
      <c r="H106" s="180">
        <v>0.29166666666666669</v>
      </c>
      <c r="I106" s="180">
        <v>0.5</v>
      </c>
      <c r="J106" s="20">
        <v>5</v>
      </c>
      <c r="K106" s="8" t="s">
        <v>456</v>
      </c>
      <c r="L106" s="175">
        <v>30</v>
      </c>
      <c r="M106" s="12">
        <v>30</v>
      </c>
      <c r="N106" s="41" t="s">
        <v>466</v>
      </c>
      <c r="O106" s="50" t="s">
        <v>144</v>
      </c>
      <c r="Q106" s="269">
        <v>68.59</v>
      </c>
      <c r="R106" s="213">
        <v>198.79</v>
      </c>
      <c r="S106" s="277">
        <v>38</v>
      </c>
      <c r="T106" s="278" t="e">
        <f>Table_1[[#This Row],[Rain_fall (mm)]]/Table_1[[#This Row],[Factors]]</f>
        <v>#VALUE!</v>
      </c>
      <c r="U106" s="278" t="s">
        <v>562</v>
      </c>
      <c r="V106" s="15"/>
      <c r="W106" s="15"/>
      <c r="X106" s="15"/>
      <c r="Y106" s="16"/>
    </row>
    <row r="107" spans="1:25" ht="56.25" customHeight="1" x14ac:dyDescent="0.35">
      <c r="A107" s="8">
        <v>106</v>
      </c>
      <c r="B107" s="44" t="s">
        <v>129</v>
      </c>
      <c r="C107" s="150" t="s">
        <v>149</v>
      </c>
      <c r="D107" s="137">
        <v>45197</v>
      </c>
      <c r="E107" s="25">
        <v>21.021940000000001</v>
      </c>
      <c r="F107" s="25">
        <v>105.83156</v>
      </c>
      <c r="G107" s="20">
        <v>8.14</v>
      </c>
      <c r="H107" s="180">
        <v>0.29166666666666669</v>
      </c>
      <c r="I107" s="180">
        <v>0.5</v>
      </c>
      <c r="J107" s="20">
        <v>5</v>
      </c>
      <c r="K107" s="8" t="s">
        <v>456</v>
      </c>
      <c r="L107" s="175">
        <v>30</v>
      </c>
      <c r="M107" s="12">
        <v>30</v>
      </c>
      <c r="N107" s="41" t="s">
        <v>466</v>
      </c>
      <c r="O107" s="50" t="s">
        <v>144</v>
      </c>
      <c r="Q107" s="269">
        <v>68.59</v>
      </c>
      <c r="R107" s="213">
        <v>155.65</v>
      </c>
      <c r="S107" s="277">
        <v>38</v>
      </c>
      <c r="T107" s="278" t="e">
        <f>Table_1[[#This Row],[Rain_fall (mm)]]/Table_1[[#This Row],[Factors]]</f>
        <v>#VALUE!</v>
      </c>
      <c r="U107" s="278" t="s">
        <v>562</v>
      </c>
      <c r="V107" s="15"/>
      <c r="W107" s="15"/>
      <c r="X107" s="15"/>
      <c r="Y107" s="16"/>
    </row>
    <row r="108" spans="1:25" ht="56.25" customHeight="1" x14ac:dyDescent="0.35">
      <c r="A108" s="8">
        <v>107</v>
      </c>
      <c r="B108" s="44" t="s">
        <v>129</v>
      </c>
      <c r="C108" s="150" t="s">
        <v>134</v>
      </c>
      <c r="D108" s="137">
        <v>45197</v>
      </c>
      <c r="E108" s="25">
        <v>21.013118380254902</v>
      </c>
      <c r="F108" s="25">
        <v>105.82000326675001</v>
      </c>
      <c r="G108" s="20">
        <v>7.75</v>
      </c>
      <c r="H108" s="180">
        <v>0.29166666666666669</v>
      </c>
      <c r="I108" s="180">
        <v>0.5</v>
      </c>
      <c r="J108" s="20">
        <v>5</v>
      </c>
      <c r="K108" s="8" t="s">
        <v>456</v>
      </c>
      <c r="L108" s="175">
        <v>30</v>
      </c>
      <c r="M108" s="12">
        <v>30</v>
      </c>
      <c r="N108" s="41" t="s">
        <v>466</v>
      </c>
      <c r="O108" s="50" t="s">
        <v>144</v>
      </c>
      <c r="Q108" s="269">
        <v>68.59</v>
      </c>
      <c r="R108" s="213">
        <v>314.74</v>
      </c>
      <c r="S108" s="277">
        <v>33</v>
      </c>
      <c r="T108" s="278" t="e">
        <f>Table_1[[#This Row],[Rain_fall (mm)]]/Table_1[[#This Row],[Factors]]</f>
        <v>#VALUE!</v>
      </c>
      <c r="U108" s="278" t="s">
        <v>562</v>
      </c>
      <c r="V108" s="15"/>
      <c r="W108" s="15"/>
      <c r="X108" s="15"/>
      <c r="Y108" s="16"/>
    </row>
    <row r="109" spans="1:25" ht="56.25" customHeight="1" x14ac:dyDescent="0.35">
      <c r="A109" s="10">
        <v>108</v>
      </c>
      <c r="B109" s="44" t="s">
        <v>129</v>
      </c>
      <c r="C109" s="150" t="s">
        <v>143</v>
      </c>
      <c r="D109" s="137">
        <v>45424</v>
      </c>
      <c r="E109" s="42">
        <v>21.007660000000001</v>
      </c>
      <c r="F109" s="42">
        <v>105.84129</v>
      </c>
      <c r="G109" s="20">
        <v>7.73</v>
      </c>
      <c r="H109" s="180">
        <v>0.75</v>
      </c>
      <c r="I109" s="180">
        <v>0.83333333333333337</v>
      </c>
      <c r="J109" s="20">
        <v>2</v>
      </c>
      <c r="K109" s="8" t="s">
        <v>456</v>
      </c>
      <c r="L109" s="175">
        <v>50</v>
      </c>
      <c r="M109" s="47">
        <v>50</v>
      </c>
      <c r="N109" s="41" t="s">
        <v>466</v>
      </c>
      <c r="O109" s="50" t="s">
        <v>38</v>
      </c>
      <c r="Q109" s="269">
        <v>8.17</v>
      </c>
      <c r="R109" s="213">
        <v>118.03</v>
      </c>
      <c r="S109" s="277">
        <v>49</v>
      </c>
      <c r="T109" s="278" t="e">
        <f>Table_1[[#This Row],[Rain_fall (mm)]]/Table_1[[#This Row],[Factors]]</f>
        <v>#VALUE!</v>
      </c>
      <c r="U109" s="278" t="s">
        <v>562</v>
      </c>
      <c r="V109" s="15"/>
      <c r="W109" s="15"/>
      <c r="X109" s="15"/>
      <c r="Y109" s="16"/>
    </row>
    <row r="110" spans="1:25" ht="56.25" customHeight="1" x14ac:dyDescent="0.35">
      <c r="A110" s="8">
        <v>109</v>
      </c>
      <c r="B110" s="44" t="s">
        <v>129</v>
      </c>
      <c r="C110" s="150" t="s">
        <v>145</v>
      </c>
      <c r="D110" s="137">
        <v>45424</v>
      </c>
      <c r="E110" s="42">
        <v>21.029170000000001</v>
      </c>
      <c r="F110" s="42">
        <v>105.84157999999999</v>
      </c>
      <c r="G110" s="20">
        <v>9.6999999999999993</v>
      </c>
      <c r="H110" s="180">
        <v>0.75</v>
      </c>
      <c r="I110" s="180">
        <v>0.83333333333333337</v>
      </c>
      <c r="J110" s="20">
        <v>2</v>
      </c>
      <c r="K110" s="8" t="s">
        <v>456</v>
      </c>
      <c r="L110" s="175">
        <v>50</v>
      </c>
      <c r="M110" s="47">
        <v>50</v>
      </c>
      <c r="N110" s="41" t="s">
        <v>466</v>
      </c>
      <c r="O110" s="50" t="s">
        <v>38</v>
      </c>
      <c r="Q110" s="269">
        <v>8.17</v>
      </c>
      <c r="R110" s="213">
        <v>567.41999999999996</v>
      </c>
      <c r="S110" s="277">
        <v>33.1</v>
      </c>
      <c r="T110" s="278" t="e">
        <f>Table_1[[#This Row],[Rain_fall (mm)]]/Table_1[[#This Row],[Factors]]</f>
        <v>#VALUE!</v>
      </c>
      <c r="U110" s="278" t="s">
        <v>562</v>
      </c>
      <c r="V110" s="15"/>
      <c r="W110" s="15"/>
      <c r="X110" s="15"/>
      <c r="Y110" s="16"/>
    </row>
    <row r="111" spans="1:25" ht="56.25" customHeight="1" x14ac:dyDescent="0.35">
      <c r="A111" s="8">
        <v>110</v>
      </c>
      <c r="B111" s="44" t="s">
        <v>129</v>
      </c>
      <c r="C111" s="150" t="s">
        <v>146</v>
      </c>
      <c r="D111" s="137">
        <v>45424</v>
      </c>
      <c r="E111" s="42">
        <v>21.007709999999999</v>
      </c>
      <c r="F111" s="42">
        <v>105.82804</v>
      </c>
      <c r="G111" s="20">
        <v>7.83</v>
      </c>
      <c r="H111" s="180">
        <v>0.75</v>
      </c>
      <c r="I111" s="180">
        <v>0.83333333333333337</v>
      </c>
      <c r="J111" s="20">
        <v>2</v>
      </c>
      <c r="K111" s="8" t="s">
        <v>456</v>
      </c>
      <c r="L111" s="175">
        <v>50</v>
      </c>
      <c r="M111" s="47">
        <v>50</v>
      </c>
      <c r="N111" s="41" t="s">
        <v>466</v>
      </c>
      <c r="O111" s="50" t="s">
        <v>38</v>
      </c>
      <c r="Q111" s="269">
        <v>8.17</v>
      </c>
      <c r="R111" s="213">
        <v>38.81</v>
      </c>
      <c r="S111" s="277">
        <v>38.6</v>
      </c>
      <c r="T111" s="278" t="e">
        <f>Table_1[[#This Row],[Rain_fall (mm)]]/Table_1[[#This Row],[Factors]]</f>
        <v>#VALUE!</v>
      </c>
      <c r="U111" s="278" t="s">
        <v>562</v>
      </c>
      <c r="V111" s="15"/>
      <c r="W111" s="15"/>
      <c r="X111" s="15"/>
      <c r="Y111" s="16"/>
    </row>
    <row r="112" spans="1:25" ht="56.25" customHeight="1" x14ac:dyDescent="0.35">
      <c r="A112" s="10">
        <v>111</v>
      </c>
      <c r="B112" s="44" t="s">
        <v>129</v>
      </c>
      <c r="C112" s="150" t="s">
        <v>147</v>
      </c>
      <c r="D112" s="137">
        <v>45424</v>
      </c>
      <c r="E112" s="42">
        <v>21.002751221421999</v>
      </c>
      <c r="F112" s="42">
        <v>105.82993617044799</v>
      </c>
      <c r="G112" s="20">
        <v>7.99</v>
      </c>
      <c r="H112" s="180">
        <v>0.75</v>
      </c>
      <c r="I112" s="180">
        <v>0.83333333333333337</v>
      </c>
      <c r="J112" s="20">
        <v>2</v>
      </c>
      <c r="K112" s="8" t="s">
        <v>456</v>
      </c>
      <c r="L112" s="175">
        <v>50</v>
      </c>
      <c r="M112" s="47">
        <v>50</v>
      </c>
      <c r="N112" s="41" t="s">
        <v>466</v>
      </c>
      <c r="O112" s="50" t="s">
        <v>38</v>
      </c>
      <c r="Q112" s="269">
        <v>8.17</v>
      </c>
      <c r="R112" s="213">
        <v>114.28</v>
      </c>
      <c r="S112" s="277">
        <v>38.6</v>
      </c>
      <c r="T112" s="278" t="e">
        <f>Table_1[[#This Row],[Rain_fall (mm)]]/Table_1[[#This Row],[Factors]]</f>
        <v>#VALUE!</v>
      </c>
      <c r="U112" s="278" t="s">
        <v>562</v>
      </c>
      <c r="V112" s="15"/>
      <c r="W112" s="15"/>
      <c r="X112" s="15"/>
      <c r="Y112" s="16"/>
    </row>
    <row r="113" spans="1:25" ht="56.25" customHeight="1" x14ac:dyDescent="0.35">
      <c r="A113" s="8">
        <v>112</v>
      </c>
      <c r="B113" s="44" t="s">
        <v>129</v>
      </c>
      <c r="C113" s="150" t="s">
        <v>150</v>
      </c>
      <c r="D113" s="137">
        <v>45424</v>
      </c>
      <c r="E113" s="42">
        <v>21.015969377764002</v>
      </c>
      <c r="F113" s="42">
        <v>105.827554895586</v>
      </c>
      <c r="G113" s="20">
        <v>9.68</v>
      </c>
      <c r="H113" s="180">
        <v>0.75</v>
      </c>
      <c r="I113" s="180">
        <v>0.83333333333333337</v>
      </c>
      <c r="J113" s="20">
        <v>2</v>
      </c>
      <c r="K113" s="8" t="s">
        <v>456</v>
      </c>
      <c r="L113" s="175">
        <v>50</v>
      </c>
      <c r="M113" s="47">
        <v>50</v>
      </c>
      <c r="N113" s="41" t="s">
        <v>466</v>
      </c>
      <c r="O113" s="50" t="s">
        <v>38</v>
      </c>
      <c r="Q113" s="269">
        <v>8.17</v>
      </c>
      <c r="R113" s="213">
        <v>85.84</v>
      </c>
      <c r="S113" s="277">
        <v>33.1</v>
      </c>
      <c r="T113" s="278" t="e">
        <f>Table_1[[#This Row],[Rain_fall (mm)]]/Table_1[[#This Row],[Factors]]</f>
        <v>#VALUE!</v>
      </c>
      <c r="U113" s="278" t="s">
        <v>562</v>
      </c>
      <c r="V113" s="15"/>
      <c r="W113" s="15"/>
      <c r="X113" s="15"/>
      <c r="Y113" s="16"/>
    </row>
    <row r="114" spans="1:25" ht="56.25" customHeight="1" x14ac:dyDescent="0.35">
      <c r="A114" s="8">
        <v>113</v>
      </c>
      <c r="B114" s="44" t="s">
        <v>129</v>
      </c>
      <c r="C114" s="150" t="s">
        <v>137</v>
      </c>
      <c r="D114" s="137">
        <v>45527</v>
      </c>
      <c r="E114" s="25">
        <v>20.978480000000001</v>
      </c>
      <c r="F114" s="25">
        <v>105.78701</v>
      </c>
      <c r="G114" s="20">
        <v>11.72</v>
      </c>
      <c r="H114" s="180">
        <v>0.91666666666666663</v>
      </c>
      <c r="I114" s="180">
        <v>0.20833333333333334</v>
      </c>
      <c r="J114" s="20">
        <v>7</v>
      </c>
      <c r="K114" s="8" t="s">
        <v>456</v>
      </c>
      <c r="L114" s="175">
        <v>50</v>
      </c>
      <c r="M114" s="47">
        <v>60</v>
      </c>
      <c r="N114" s="41" t="s">
        <v>466</v>
      </c>
      <c r="O114" s="33" t="s">
        <v>120</v>
      </c>
      <c r="Q114" s="269">
        <v>66.959999999999994</v>
      </c>
      <c r="R114" s="213">
        <v>276.05</v>
      </c>
      <c r="S114" s="277">
        <v>34.299999999999997</v>
      </c>
      <c r="T114" s="278" t="e">
        <f>Table_1[[#This Row],[Rain_fall (mm)]]/Table_1[[#This Row],[Factors]]</f>
        <v>#VALUE!</v>
      </c>
      <c r="U114" s="278" t="s">
        <v>562</v>
      </c>
      <c r="V114" s="15"/>
      <c r="W114" s="15"/>
      <c r="X114" s="15"/>
      <c r="Y114" s="16"/>
    </row>
    <row r="115" spans="1:25" ht="56.25" customHeight="1" x14ac:dyDescent="0.35">
      <c r="A115" s="10">
        <v>114</v>
      </c>
      <c r="B115" s="44" t="s">
        <v>129</v>
      </c>
      <c r="C115" s="150" t="s">
        <v>151</v>
      </c>
      <c r="D115" s="137">
        <v>45527</v>
      </c>
      <c r="E115" s="25">
        <v>20.99878</v>
      </c>
      <c r="F115" s="25">
        <v>105.83682</v>
      </c>
      <c r="G115" s="20">
        <v>9.06</v>
      </c>
      <c r="H115" s="180">
        <v>0.91666666666666663</v>
      </c>
      <c r="I115" s="180">
        <v>0.20833333333333334</v>
      </c>
      <c r="J115" s="20">
        <v>7</v>
      </c>
      <c r="K115" s="8" t="s">
        <v>456</v>
      </c>
      <c r="L115" s="175">
        <v>50</v>
      </c>
      <c r="M115" s="47">
        <v>60</v>
      </c>
      <c r="N115" s="41" t="s">
        <v>466</v>
      </c>
      <c r="O115" s="33" t="s">
        <v>120</v>
      </c>
      <c r="Q115" s="269">
        <v>66.959999999999994</v>
      </c>
      <c r="R115" s="213">
        <v>72.650000000000006</v>
      </c>
      <c r="S115" s="277">
        <v>39.799999999999997</v>
      </c>
      <c r="T115" s="278" t="e">
        <f>Table_1[[#This Row],[Rain_fall (mm)]]/Table_1[[#This Row],[Factors]]</f>
        <v>#VALUE!</v>
      </c>
      <c r="U115" s="278" t="s">
        <v>562</v>
      </c>
      <c r="V115" s="15"/>
      <c r="W115" s="15"/>
      <c r="X115" s="15"/>
      <c r="Y115" s="16"/>
    </row>
    <row r="116" spans="1:25" ht="56.25" customHeight="1" x14ac:dyDescent="0.35">
      <c r="A116" s="8">
        <v>115</v>
      </c>
      <c r="B116" s="44" t="s">
        <v>129</v>
      </c>
      <c r="C116" s="150" t="s">
        <v>152</v>
      </c>
      <c r="D116" s="137">
        <v>45527</v>
      </c>
      <c r="E116" s="25">
        <v>21.017420000000001</v>
      </c>
      <c r="F116" s="25">
        <v>105.81317</v>
      </c>
      <c r="G116" s="20">
        <v>7.99</v>
      </c>
      <c r="H116" s="180">
        <v>0.91666666666666663</v>
      </c>
      <c r="I116" s="180">
        <v>0.20833333333333334</v>
      </c>
      <c r="J116" s="20">
        <v>7</v>
      </c>
      <c r="K116" s="8" t="s">
        <v>456</v>
      </c>
      <c r="L116" s="175">
        <v>50</v>
      </c>
      <c r="M116" s="47">
        <v>60</v>
      </c>
      <c r="N116" s="41" t="s">
        <v>466</v>
      </c>
      <c r="O116" s="33" t="s">
        <v>120</v>
      </c>
      <c r="Q116" s="269">
        <v>66.959999999999994</v>
      </c>
      <c r="R116" s="213">
        <v>443.3</v>
      </c>
      <c r="S116" s="277">
        <v>31.3</v>
      </c>
      <c r="T116" s="278" t="e">
        <f>Table_1[[#This Row],[Rain_fall (mm)]]/Table_1[[#This Row],[Factors]]</f>
        <v>#VALUE!</v>
      </c>
      <c r="U116" s="278" t="s">
        <v>562</v>
      </c>
      <c r="V116" s="15"/>
      <c r="W116" s="15"/>
      <c r="X116" s="15"/>
      <c r="Y116" s="16"/>
    </row>
    <row r="117" spans="1:25" ht="56.25" customHeight="1" x14ac:dyDescent="0.35">
      <c r="A117" s="8">
        <v>116</v>
      </c>
      <c r="B117" s="44" t="s">
        <v>129</v>
      </c>
      <c r="C117" s="150" t="s">
        <v>153</v>
      </c>
      <c r="D117" s="137">
        <v>45551</v>
      </c>
      <c r="E117" s="25">
        <v>21.014479999999999</v>
      </c>
      <c r="F117" s="25">
        <v>105.81419</v>
      </c>
      <c r="G117" s="20">
        <v>8.5500000000000007</v>
      </c>
      <c r="H117" s="180">
        <v>0.27083333333333331</v>
      </c>
      <c r="I117" s="180">
        <v>0.375</v>
      </c>
      <c r="J117" s="20">
        <v>2.5</v>
      </c>
      <c r="K117" s="8" t="s">
        <v>456</v>
      </c>
      <c r="L117" s="175">
        <v>60</v>
      </c>
      <c r="M117" s="47">
        <v>100</v>
      </c>
      <c r="N117" s="52" t="s">
        <v>469</v>
      </c>
      <c r="O117" s="33" t="s">
        <v>154</v>
      </c>
      <c r="Q117" s="269">
        <v>5.46</v>
      </c>
      <c r="R117" s="213">
        <v>442.14</v>
      </c>
      <c r="S117" s="277">
        <v>25</v>
      </c>
      <c r="T117" s="278" t="e">
        <f>Table_1[[#This Row],[Rain_fall (mm)]]/Table_1[[#This Row],[Factors]]</f>
        <v>#VALUE!</v>
      </c>
      <c r="U117" s="278" t="s">
        <v>562</v>
      </c>
      <c r="V117" s="15"/>
      <c r="W117" s="15"/>
      <c r="X117" s="15"/>
      <c r="Y117" s="16"/>
    </row>
    <row r="118" spans="1:25" ht="56.25" customHeight="1" x14ac:dyDescent="0.35">
      <c r="A118" s="10">
        <v>117</v>
      </c>
      <c r="B118" s="44" t="s">
        <v>129</v>
      </c>
      <c r="C118" s="150" t="s">
        <v>155</v>
      </c>
      <c r="D118" s="137">
        <v>45551</v>
      </c>
      <c r="E118" s="25">
        <v>21.017219999999998</v>
      </c>
      <c r="F118" s="25">
        <v>105.81529999999999</v>
      </c>
      <c r="G118" s="20">
        <v>7.99</v>
      </c>
      <c r="H118" s="180">
        <v>0.27083333333333331</v>
      </c>
      <c r="I118" s="180">
        <v>0.375</v>
      </c>
      <c r="J118" s="20">
        <v>2.5</v>
      </c>
      <c r="K118" s="8" t="s">
        <v>456</v>
      </c>
      <c r="L118" s="175">
        <v>60</v>
      </c>
      <c r="M118" s="47">
        <v>100</v>
      </c>
      <c r="N118" s="52" t="s">
        <v>469</v>
      </c>
      <c r="O118" s="33" t="s">
        <v>154</v>
      </c>
      <c r="Q118" s="269">
        <v>5.46</v>
      </c>
      <c r="R118" s="213">
        <v>221.44</v>
      </c>
      <c r="S118" s="277">
        <v>9.3000000000000007</v>
      </c>
      <c r="T118" s="278" t="e">
        <f>Table_1[[#This Row],[Rain_fall (mm)]]/Table_1[[#This Row],[Factors]]</f>
        <v>#VALUE!</v>
      </c>
      <c r="U118" s="278" t="s">
        <v>562</v>
      </c>
      <c r="V118" s="15"/>
      <c r="W118" s="15"/>
      <c r="X118" s="15"/>
      <c r="Y118" s="16"/>
    </row>
    <row r="119" spans="1:25" ht="56.25" customHeight="1" x14ac:dyDescent="0.35">
      <c r="A119" s="8">
        <v>118</v>
      </c>
      <c r="B119" s="44" t="s">
        <v>129</v>
      </c>
      <c r="C119" s="146" t="s">
        <v>156</v>
      </c>
      <c r="D119" s="137">
        <v>45895</v>
      </c>
      <c r="E119" s="25">
        <v>20.903580000000002</v>
      </c>
      <c r="F119" s="25">
        <v>105.86667</v>
      </c>
      <c r="G119" s="20">
        <v>7.75</v>
      </c>
      <c r="H119" s="180">
        <v>0.5</v>
      </c>
      <c r="I119" s="180">
        <v>0.58333333333333337</v>
      </c>
      <c r="J119" s="20">
        <v>14</v>
      </c>
      <c r="K119" s="8" t="s">
        <v>456</v>
      </c>
      <c r="L119" s="27">
        <v>50</v>
      </c>
      <c r="M119" s="27">
        <v>325</v>
      </c>
      <c r="N119" s="52" t="s">
        <v>469</v>
      </c>
      <c r="O119" s="53" t="s">
        <v>157</v>
      </c>
      <c r="Q119" s="269">
        <v>37.61</v>
      </c>
      <c r="R119" s="213">
        <v>246.09</v>
      </c>
      <c r="S119" s="277">
        <v>77.400000000000006</v>
      </c>
      <c r="T119" s="278" t="e">
        <f>Table_1[[#This Row],[Rain_fall (mm)]]/Table_1[[#This Row],[Factors]]</f>
        <v>#VALUE!</v>
      </c>
      <c r="U119" s="278" t="s">
        <v>562</v>
      </c>
      <c r="V119" s="15"/>
      <c r="W119" s="15"/>
      <c r="X119" s="15"/>
      <c r="Y119" s="16"/>
    </row>
    <row r="120" spans="1:25" ht="56.25" customHeight="1" x14ac:dyDescent="0.35">
      <c r="A120" s="8">
        <v>119</v>
      </c>
      <c r="B120" s="44" t="s">
        <v>129</v>
      </c>
      <c r="C120" s="146" t="s">
        <v>158</v>
      </c>
      <c r="D120" s="137">
        <v>45895</v>
      </c>
      <c r="E120" s="25">
        <v>21.022120000000001</v>
      </c>
      <c r="F120" s="25">
        <v>105.81201</v>
      </c>
      <c r="G120" s="20">
        <v>9.4700000000000006</v>
      </c>
      <c r="H120" s="180">
        <v>0.5</v>
      </c>
      <c r="I120" s="180">
        <v>0.58333333333333337</v>
      </c>
      <c r="J120" s="20">
        <v>14</v>
      </c>
      <c r="K120" s="8" t="s">
        <v>456</v>
      </c>
      <c r="L120" s="27">
        <v>50</v>
      </c>
      <c r="M120" s="27">
        <v>325</v>
      </c>
      <c r="N120" s="52" t="s">
        <v>469</v>
      </c>
      <c r="O120" s="54" t="s">
        <v>159</v>
      </c>
      <c r="Q120" s="269">
        <v>37.61</v>
      </c>
      <c r="R120" s="213">
        <v>565.9</v>
      </c>
      <c r="S120" s="277">
        <v>72.099999999999994</v>
      </c>
      <c r="T120" s="278" t="e">
        <f>Table_1[[#This Row],[Rain_fall (mm)]]/Table_1[[#This Row],[Factors]]</f>
        <v>#VALUE!</v>
      </c>
      <c r="U120" s="278" t="s">
        <v>562</v>
      </c>
      <c r="V120" s="15"/>
      <c r="W120" s="15"/>
      <c r="X120" s="15"/>
      <c r="Y120" s="16"/>
    </row>
    <row r="121" spans="1:25" ht="56.25" customHeight="1" x14ac:dyDescent="0.35">
      <c r="A121" s="10">
        <v>120</v>
      </c>
      <c r="B121" s="44" t="s">
        <v>129</v>
      </c>
      <c r="C121" s="146" t="s">
        <v>160</v>
      </c>
      <c r="D121" s="137">
        <v>45895</v>
      </c>
      <c r="E121" s="25">
        <v>21.01435</v>
      </c>
      <c r="F121" s="25">
        <v>105.81635</v>
      </c>
      <c r="G121" s="20">
        <v>8.15</v>
      </c>
      <c r="H121" s="180">
        <v>0.5</v>
      </c>
      <c r="I121" s="180">
        <v>0.58333333333333337</v>
      </c>
      <c r="J121" s="20">
        <v>14</v>
      </c>
      <c r="K121" s="8" t="s">
        <v>456</v>
      </c>
      <c r="L121" s="27">
        <v>50</v>
      </c>
      <c r="M121" s="27">
        <v>325</v>
      </c>
      <c r="N121" s="52" t="s">
        <v>469</v>
      </c>
      <c r="O121" s="53" t="s">
        <v>161</v>
      </c>
      <c r="Q121" s="269">
        <v>37.61</v>
      </c>
      <c r="R121" s="213">
        <v>300.88</v>
      </c>
      <c r="S121" s="277">
        <v>80</v>
      </c>
      <c r="T121" s="278" t="e">
        <f>Table_1[[#This Row],[Rain_fall (mm)]]/Table_1[[#This Row],[Factors]]</f>
        <v>#VALUE!</v>
      </c>
      <c r="U121" s="278" t="s">
        <v>562</v>
      </c>
      <c r="V121" s="15"/>
      <c r="W121" s="15"/>
      <c r="X121" s="15"/>
      <c r="Y121" s="16"/>
    </row>
    <row r="122" spans="1:25" ht="56.25" customHeight="1" x14ac:dyDescent="0.35">
      <c r="A122" s="8">
        <v>121</v>
      </c>
      <c r="B122" s="44" t="s">
        <v>129</v>
      </c>
      <c r="C122" s="146" t="s">
        <v>162</v>
      </c>
      <c r="D122" s="137">
        <v>45551</v>
      </c>
      <c r="E122" s="42">
        <v>21.006906270000002</v>
      </c>
      <c r="F122" s="42">
        <v>105.835745</v>
      </c>
      <c r="G122" s="20">
        <v>7.53</v>
      </c>
      <c r="H122" s="180">
        <v>0.22916666666666666</v>
      </c>
      <c r="I122" s="180">
        <v>0.47916666666666669</v>
      </c>
      <c r="J122" s="20">
        <v>6</v>
      </c>
      <c r="K122" s="8" t="s">
        <v>456</v>
      </c>
      <c r="L122" s="27">
        <v>30</v>
      </c>
      <c r="M122" s="27">
        <v>50</v>
      </c>
      <c r="N122" s="41" t="s">
        <v>466</v>
      </c>
      <c r="O122" s="43" t="s">
        <v>163</v>
      </c>
      <c r="Q122" s="269">
        <v>5.46</v>
      </c>
      <c r="R122" s="213">
        <v>140.84</v>
      </c>
      <c r="S122" s="277">
        <v>25</v>
      </c>
      <c r="T122" s="278" t="e">
        <f>Table_1[[#This Row],[Rain_fall (mm)]]/Table_1[[#This Row],[Factors]]</f>
        <v>#VALUE!</v>
      </c>
      <c r="U122" s="278" t="s">
        <v>562</v>
      </c>
      <c r="V122" s="15"/>
      <c r="W122" s="15"/>
      <c r="X122" s="15"/>
      <c r="Y122" s="16"/>
    </row>
    <row r="123" spans="1:25" ht="56.25" customHeight="1" x14ac:dyDescent="0.35">
      <c r="A123" s="8">
        <v>122</v>
      </c>
      <c r="B123" s="44" t="s">
        <v>129</v>
      </c>
      <c r="C123" s="146" t="s">
        <v>134</v>
      </c>
      <c r="D123" s="137">
        <v>45551</v>
      </c>
      <c r="E123" s="42">
        <v>21.013148430000001</v>
      </c>
      <c r="F123" s="42">
        <v>105.82040019999999</v>
      </c>
      <c r="G123" s="20">
        <v>7.75</v>
      </c>
      <c r="H123" s="180">
        <v>1</v>
      </c>
      <c r="I123" s="180">
        <v>0.20833333333333334</v>
      </c>
      <c r="J123" s="20">
        <v>5</v>
      </c>
      <c r="K123" s="8" t="s">
        <v>456</v>
      </c>
      <c r="L123" s="27">
        <v>50</v>
      </c>
      <c r="M123" s="27">
        <v>154</v>
      </c>
      <c r="N123" s="41" t="s">
        <v>466</v>
      </c>
      <c r="O123" s="43" t="s">
        <v>164</v>
      </c>
      <c r="Q123" s="269">
        <v>5.46</v>
      </c>
      <c r="R123" s="213">
        <v>309.52</v>
      </c>
      <c r="S123" s="277">
        <v>25</v>
      </c>
      <c r="T123" s="278" t="e">
        <f>Table_1[[#This Row],[Rain_fall (mm)]]/Table_1[[#This Row],[Factors]]</f>
        <v>#VALUE!</v>
      </c>
      <c r="U123" s="278" t="s">
        <v>562</v>
      </c>
      <c r="V123" s="15"/>
      <c r="W123" s="15"/>
      <c r="X123" s="15"/>
      <c r="Y123" s="16"/>
    </row>
    <row r="124" spans="1:25" ht="56.25" customHeight="1" x14ac:dyDescent="0.35">
      <c r="A124" s="10">
        <v>123</v>
      </c>
      <c r="B124" s="26" t="s">
        <v>165</v>
      </c>
      <c r="C124" s="146" t="s">
        <v>166</v>
      </c>
      <c r="D124" s="137">
        <v>44710</v>
      </c>
      <c r="E124" s="25">
        <v>21.0106</v>
      </c>
      <c r="F124" s="25">
        <v>105.73180000000001</v>
      </c>
      <c r="G124" s="20">
        <v>13.23</v>
      </c>
      <c r="H124" s="180">
        <v>0.57638888888888884</v>
      </c>
      <c r="I124" s="180">
        <v>0.65972222222222221</v>
      </c>
      <c r="J124" s="20">
        <v>2</v>
      </c>
      <c r="K124" s="8" t="s">
        <v>456</v>
      </c>
      <c r="L124" s="27">
        <v>30</v>
      </c>
      <c r="M124" s="27">
        <v>40</v>
      </c>
      <c r="N124" s="52" t="s">
        <v>469</v>
      </c>
      <c r="O124" s="43" t="s">
        <v>167</v>
      </c>
      <c r="Q124" s="269">
        <v>7.99</v>
      </c>
      <c r="R124" s="213">
        <v>277.68</v>
      </c>
      <c r="S124" s="277">
        <v>12.6</v>
      </c>
      <c r="T124" s="278" t="e">
        <f>Table_1[[#This Row],[Rain_fall (mm)]]/Table_1[[#This Row],[Factors]]</f>
        <v>#VALUE!</v>
      </c>
      <c r="U124" s="278" t="s">
        <v>562</v>
      </c>
      <c r="V124" s="15"/>
      <c r="W124" s="15"/>
      <c r="X124" s="15"/>
      <c r="Y124" s="16"/>
    </row>
    <row r="125" spans="1:25" ht="56.25" customHeight="1" x14ac:dyDescent="0.35">
      <c r="A125" s="8">
        <v>124</v>
      </c>
      <c r="B125" s="26" t="s">
        <v>165</v>
      </c>
      <c r="C125" s="146" t="s">
        <v>168</v>
      </c>
      <c r="D125" s="137">
        <v>44785</v>
      </c>
      <c r="E125" s="25">
        <v>21.0045</v>
      </c>
      <c r="F125" s="25">
        <v>105.745</v>
      </c>
      <c r="G125" s="20">
        <v>7.86</v>
      </c>
      <c r="H125" s="180">
        <v>1</v>
      </c>
      <c r="I125" s="180">
        <v>0.29166666666666669</v>
      </c>
      <c r="J125" s="20">
        <v>7</v>
      </c>
      <c r="K125" s="8" t="s">
        <v>456</v>
      </c>
      <c r="L125" s="27"/>
      <c r="M125" s="27">
        <v>219.5</v>
      </c>
      <c r="N125" s="52" t="s">
        <v>469</v>
      </c>
      <c r="O125" s="43" t="s">
        <v>169</v>
      </c>
      <c r="Q125" s="269">
        <v>44.03</v>
      </c>
      <c r="R125" s="213">
        <v>415.32</v>
      </c>
      <c r="S125" s="277">
        <v>30</v>
      </c>
      <c r="T125" s="278" t="e">
        <f>Table_1[[#This Row],[Rain_fall (mm)]]/Table_1[[#This Row],[Factors]]</f>
        <v>#VALUE!</v>
      </c>
      <c r="U125" s="278" t="s">
        <v>562</v>
      </c>
      <c r="V125" s="15"/>
      <c r="W125" s="15"/>
      <c r="X125" s="15"/>
      <c r="Y125" s="16"/>
    </row>
    <row r="126" spans="1:25" ht="56.25" customHeight="1" x14ac:dyDescent="0.35">
      <c r="A126" s="8">
        <v>125</v>
      </c>
      <c r="B126" s="26" t="s">
        <v>165</v>
      </c>
      <c r="C126" s="146" t="s">
        <v>170</v>
      </c>
      <c r="D126" s="137">
        <v>45138</v>
      </c>
      <c r="E126" s="25">
        <v>20.963000000000001</v>
      </c>
      <c r="F126" s="25">
        <v>105.786</v>
      </c>
      <c r="G126" s="20">
        <v>8.76</v>
      </c>
      <c r="H126" s="180">
        <v>0.58333333333333337</v>
      </c>
      <c r="I126" s="180">
        <v>0.625</v>
      </c>
      <c r="J126" s="20">
        <v>1</v>
      </c>
      <c r="K126" s="8" t="s">
        <v>456</v>
      </c>
      <c r="L126" s="27">
        <v>50</v>
      </c>
      <c r="M126" s="27">
        <v>94</v>
      </c>
      <c r="N126" s="52" t="s">
        <v>469</v>
      </c>
      <c r="O126" s="43" t="s">
        <v>171</v>
      </c>
      <c r="Q126" s="269">
        <v>17.059999999999999</v>
      </c>
      <c r="R126" s="213">
        <v>59.52</v>
      </c>
      <c r="S126" s="277">
        <v>19.100000000000001</v>
      </c>
      <c r="T126" s="278" t="e">
        <f>Table_1[[#This Row],[Rain_fall (mm)]]/Table_1[[#This Row],[Factors]]</f>
        <v>#VALUE!</v>
      </c>
      <c r="U126" s="278" t="s">
        <v>562</v>
      </c>
      <c r="V126" s="15"/>
      <c r="W126" s="15"/>
      <c r="X126" s="15"/>
      <c r="Y126" s="16"/>
    </row>
    <row r="127" spans="1:25" ht="56.25" customHeight="1" x14ac:dyDescent="0.35">
      <c r="A127" s="10">
        <v>126</v>
      </c>
      <c r="B127" s="26" t="s">
        <v>165</v>
      </c>
      <c r="C127" s="146" t="s">
        <v>172</v>
      </c>
      <c r="D127" s="137">
        <v>45138</v>
      </c>
      <c r="E127" s="25">
        <v>20.98</v>
      </c>
      <c r="F127" s="25">
        <v>105.8</v>
      </c>
      <c r="G127" s="20">
        <v>8.25</v>
      </c>
      <c r="H127" s="180">
        <v>0.5625</v>
      </c>
      <c r="I127" s="180">
        <v>0.625</v>
      </c>
      <c r="J127" s="20">
        <v>2.5</v>
      </c>
      <c r="K127" s="8" t="s">
        <v>456</v>
      </c>
      <c r="L127" s="27">
        <v>30</v>
      </c>
      <c r="M127" s="27">
        <v>95</v>
      </c>
      <c r="N127" s="52" t="s">
        <v>469</v>
      </c>
      <c r="O127" s="53" t="s">
        <v>173</v>
      </c>
      <c r="Q127" s="269">
        <v>17.059999999999999</v>
      </c>
      <c r="R127" s="213">
        <v>31.42</v>
      </c>
      <c r="S127" s="277">
        <v>19.100000000000001</v>
      </c>
      <c r="T127" s="278" t="e">
        <f>Table_1[[#This Row],[Rain_fall (mm)]]/Table_1[[#This Row],[Factors]]</f>
        <v>#VALUE!</v>
      </c>
      <c r="U127" s="278" t="s">
        <v>562</v>
      </c>
      <c r="V127" s="15"/>
      <c r="W127" s="15"/>
      <c r="X127" s="15"/>
      <c r="Y127" s="16"/>
    </row>
    <row r="128" spans="1:25" ht="56.25" customHeight="1" x14ac:dyDescent="0.35">
      <c r="A128" s="8">
        <v>127</v>
      </c>
      <c r="B128" s="26" t="s">
        <v>165</v>
      </c>
      <c r="C128" s="146" t="s">
        <v>26</v>
      </c>
      <c r="D128" s="137">
        <v>45138</v>
      </c>
      <c r="E128" s="25">
        <v>20.971</v>
      </c>
      <c r="F128" s="25">
        <v>105.76900000000001</v>
      </c>
      <c r="G128" s="20">
        <v>8.35</v>
      </c>
      <c r="H128" s="180">
        <v>0.5625</v>
      </c>
      <c r="I128" s="180">
        <v>0.625</v>
      </c>
      <c r="J128" s="20">
        <v>2.5</v>
      </c>
      <c r="K128" s="8" t="s">
        <v>456</v>
      </c>
      <c r="L128" s="27">
        <v>30</v>
      </c>
      <c r="M128" s="27">
        <v>95</v>
      </c>
      <c r="N128" s="52" t="s">
        <v>469</v>
      </c>
      <c r="O128" s="43" t="s">
        <v>174</v>
      </c>
      <c r="Q128" s="269">
        <v>17.059999999999999</v>
      </c>
      <c r="R128" s="213">
        <v>54.07</v>
      </c>
      <c r="S128" s="277">
        <v>19.100000000000001</v>
      </c>
      <c r="T128" s="278" t="e">
        <f>Table_1[[#This Row],[Rain_fall (mm)]]/Table_1[[#This Row],[Factors]]</f>
        <v>#VALUE!</v>
      </c>
      <c r="U128" s="278" t="s">
        <v>562</v>
      </c>
      <c r="V128" s="15"/>
      <c r="W128" s="15"/>
      <c r="X128" s="15"/>
      <c r="Y128" s="16"/>
    </row>
    <row r="129" spans="1:25" ht="56.25" customHeight="1" x14ac:dyDescent="0.35">
      <c r="A129" s="8">
        <v>128</v>
      </c>
      <c r="B129" s="26" t="s">
        <v>165</v>
      </c>
      <c r="C129" s="147" t="s">
        <v>175</v>
      </c>
      <c r="D129" s="137">
        <v>45197</v>
      </c>
      <c r="E129" s="25">
        <v>20.975000000000001</v>
      </c>
      <c r="F129" s="25">
        <v>105.78400000000001</v>
      </c>
      <c r="G129" s="20">
        <v>8.69</v>
      </c>
      <c r="H129" s="180">
        <v>0.35416666666666669</v>
      </c>
      <c r="I129" s="180">
        <v>0.5</v>
      </c>
      <c r="J129" s="20">
        <v>3.5</v>
      </c>
      <c r="K129" s="8" t="s">
        <v>456</v>
      </c>
      <c r="L129" s="175">
        <v>70</v>
      </c>
      <c r="M129" s="27">
        <v>86</v>
      </c>
      <c r="N129" s="41" t="s">
        <v>466</v>
      </c>
      <c r="O129" s="53" t="s">
        <v>176</v>
      </c>
      <c r="Q129" s="269">
        <v>68.59</v>
      </c>
      <c r="R129" s="213">
        <v>261.89999999999998</v>
      </c>
      <c r="S129" s="277">
        <v>33</v>
      </c>
      <c r="T129" s="278" t="e">
        <f>Table_1[[#This Row],[Rain_fall (mm)]]/Table_1[[#This Row],[Factors]]</f>
        <v>#VALUE!</v>
      </c>
      <c r="U129" s="278" t="s">
        <v>562</v>
      </c>
      <c r="V129" s="15"/>
      <c r="W129" s="15"/>
      <c r="X129" s="15"/>
      <c r="Y129" s="16"/>
    </row>
    <row r="130" spans="1:25" ht="56.25" customHeight="1" x14ac:dyDescent="0.35">
      <c r="A130" s="10">
        <v>129</v>
      </c>
      <c r="B130" s="26" t="s">
        <v>165</v>
      </c>
      <c r="C130" s="147" t="s">
        <v>177</v>
      </c>
      <c r="D130" s="137">
        <v>45197</v>
      </c>
      <c r="E130" s="25">
        <v>20.951000000000001</v>
      </c>
      <c r="F130" s="25">
        <v>105.746</v>
      </c>
      <c r="G130" s="20">
        <v>7.85</v>
      </c>
      <c r="H130" s="180">
        <v>0.35416666666666669</v>
      </c>
      <c r="I130" s="180">
        <v>0.5</v>
      </c>
      <c r="J130" s="20">
        <v>3.5</v>
      </c>
      <c r="K130" s="8" t="s">
        <v>456</v>
      </c>
      <c r="L130" s="175">
        <v>70</v>
      </c>
      <c r="M130" s="27">
        <v>109</v>
      </c>
      <c r="N130" s="55" t="s">
        <v>466</v>
      </c>
      <c r="O130" s="43" t="s">
        <v>178</v>
      </c>
      <c r="Q130" s="269">
        <v>68.59</v>
      </c>
      <c r="R130" s="213">
        <v>307.47000000000003</v>
      </c>
      <c r="S130" s="277">
        <v>31.9</v>
      </c>
      <c r="T130" s="278" t="e">
        <f>Table_1[[#This Row],[Rain_fall (mm)]]/Table_1[[#This Row],[Factors]]</f>
        <v>#VALUE!</v>
      </c>
      <c r="U130" s="278" t="s">
        <v>562</v>
      </c>
      <c r="V130" s="15"/>
      <c r="W130" s="15"/>
      <c r="X130" s="15"/>
      <c r="Y130" s="16"/>
    </row>
    <row r="131" spans="1:25" ht="56.25" customHeight="1" x14ac:dyDescent="0.35">
      <c r="A131" s="8">
        <v>130</v>
      </c>
      <c r="B131" s="26" t="s">
        <v>165</v>
      </c>
      <c r="C131" s="147" t="s">
        <v>179</v>
      </c>
      <c r="D131" s="137">
        <v>45496</v>
      </c>
      <c r="E131" s="25">
        <v>20.972000000000001</v>
      </c>
      <c r="F131" s="25">
        <v>105.79</v>
      </c>
      <c r="G131" s="20">
        <v>8.94</v>
      </c>
      <c r="H131" s="180">
        <v>1</v>
      </c>
      <c r="I131" s="180">
        <v>0.25</v>
      </c>
      <c r="J131" s="20">
        <v>6</v>
      </c>
      <c r="K131" s="8" t="s">
        <v>456</v>
      </c>
      <c r="L131" s="27">
        <v>35</v>
      </c>
      <c r="M131" s="56">
        <v>295.8</v>
      </c>
      <c r="N131" s="41" t="s">
        <v>466</v>
      </c>
      <c r="O131" s="53" t="s">
        <v>180</v>
      </c>
      <c r="Q131" s="269">
        <v>7.92</v>
      </c>
      <c r="R131" s="213">
        <v>308.75</v>
      </c>
      <c r="S131" s="277">
        <v>119.9</v>
      </c>
      <c r="T131" s="278" t="e">
        <f>Table_1[[#This Row],[Rain_fall (mm)]]/Table_1[[#This Row],[Factors]]</f>
        <v>#VALUE!</v>
      </c>
      <c r="U131" s="278" t="s">
        <v>562</v>
      </c>
      <c r="V131" s="15"/>
      <c r="W131" s="15"/>
      <c r="X131" s="15"/>
      <c r="Y131" s="16"/>
    </row>
    <row r="132" spans="1:25" ht="56.25" customHeight="1" x14ac:dyDescent="0.35">
      <c r="A132" s="8">
        <v>131</v>
      </c>
      <c r="B132" s="57" t="s">
        <v>165</v>
      </c>
      <c r="C132" s="149" t="s">
        <v>181</v>
      </c>
      <c r="D132" s="137">
        <v>45431</v>
      </c>
      <c r="E132" s="58">
        <v>20.973500000000001</v>
      </c>
      <c r="F132" s="58">
        <v>105.79519999999999</v>
      </c>
      <c r="G132" s="20">
        <v>10.7</v>
      </c>
      <c r="H132" s="180">
        <v>0.77083333333333337</v>
      </c>
      <c r="I132" s="180">
        <v>0.875</v>
      </c>
      <c r="J132" s="20">
        <v>2.5</v>
      </c>
      <c r="K132" s="8" t="s">
        <v>456</v>
      </c>
      <c r="L132" s="59">
        <v>50</v>
      </c>
      <c r="M132" s="59">
        <v>44.7</v>
      </c>
      <c r="N132" s="55" t="s">
        <v>466</v>
      </c>
      <c r="O132" s="60" t="s">
        <v>182</v>
      </c>
      <c r="Q132" s="269">
        <v>18.64</v>
      </c>
      <c r="R132" s="213">
        <v>331.59</v>
      </c>
      <c r="S132" s="277">
        <v>6.2</v>
      </c>
      <c r="T132" s="278" t="e">
        <f>Table_1[[#This Row],[Rain_fall (mm)]]/Table_1[[#This Row],[Factors]]</f>
        <v>#VALUE!</v>
      </c>
      <c r="U132" s="278" t="s">
        <v>562</v>
      </c>
      <c r="V132" s="15"/>
      <c r="W132" s="15"/>
      <c r="X132" s="15"/>
      <c r="Y132" s="16"/>
    </row>
    <row r="133" spans="1:25" ht="56.25" customHeight="1" x14ac:dyDescent="0.35">
      <c r="A133" s="10">
        <v>132</v>
      </c>
      <c r="B133" s="57" t="s">
        <v>165</v>
      </c>
      <c r="C133" s="149" t="s">
        <v>183</v>
      </c>
      <c r="D133" s="137">
        <v>45937</v>
      </c>
      <c r="E133" s="25">
        <v>20.972000000000001</v>
      </c>
      <c r="F133" s="58">
        <v>105.77500000000001</v>
      </c>
      <c r="G133" s="20">
        <v>10.17</v>
      </c>
      <c r="H133" s="180">
        <v>0.25</v>
      </c>
      <c r="I133" s="180">
        <v>0.41666666666666669</v>
      </c>
      <c r="J133" s="20">
        <v>4</v>
      </c>
      <c r="K133" s="8" t="s">
        <v>456</v>
      </c>
      <c r="L133" s="59">
        <v>25</v>
      </c>
      <c r="M133" s="59">
        <v>194.1</v>
      </c>
      <c r="N133" s="41" t="s">
        <v>466</v>
      </c>
      <c r="O133" s="43" t="s">
        <v>184</v>
      </c>
      <c r="Q133" s="269">
        <v>157.38999999999999</v>
      </c>
      <c r="R133" s="213">
        <v>254.49</v>
      </c>
      <c r="S133" s="277">
        <v>119.4</v>
      </c>
      <c r="T133" s="278" t="e">
        <f>Table_1[[#This Row],[Rain_fall (mm)]]/Table_1[[#This Row],[Factors]]</f>
        <v>#VALUE!</v>
      </c>
      <c r="U133" s="278" t="s">
        <v>562</v>
      </c>
      <c r="V133" s="15"/>
      <c r="W133" s="15"/>
      <c r="X133" s="15"/>
      <c r="Y133" s="16"/>
    </row>
    <row r="134" spans="1:25" ht="56.25" customHeight="1" x14ac:dyDescent="0.35">
      <c r="A134" s="8">
        <v>133</v>
      </c>
      <c r="B134" s="57" t="s">
        <v>165</v>
      </c>
      <c r="C134" s="149" t="s">
        <v>185</v>
      </c>
      <c r="D134" s="137">
        <v>45937</v>
      </c>
      <c r="E134" s="58">
        <v>20.954999999999998</v>
      </c>
      <c r="F134" s="58">
        <v>105.7846</v>
      </c>
      <c r="G134" s="20">
        <v>6.82</v>
      </c>
      <c r="H134" s="180">
        <v>0.25</v>
      </c>
      <c r="I134" s="180">
        <v>0.41666666666666669</v>
      </c>
      <c r="J134" s="20">
        <v>4</v>
      </c>
      <c r="K134" s="8" t="s">
        <v>456</v>
      </c>
      <c r="L134" s="59">
        <v>25</v>
      </c>
      <c r="M134" s="59">
        <v>194.1</v>
      </c>
      <c r="N134" s="55" t="s">
        <v>466</v>
      </c>
      <c r="O134" s="43" t="s">
        <v>184</v>
      </c>
      <c r="Q134" s="269">
        <v>157.38999999999999</v>
      </c>
      <c r="R134" s="213">
        <v>730.18</v>
      </c>
      <c r="S134" s="277">
        <v>119.4</v>
      </c>
      <c r="T134" s="278" t="e">
        <f>Table_1[[#This Row],[Rain_fall (mm)]]/Table_1[[#This Row],[Factors]]</f>
        <v>#VALUE!</v>
      </c>
      <c r="U134" s="278" t="s">
        <v>562</v>
      </c>
      <c r="V134" s="15"/>
      <c r="W134" s="15"/>
      <c r="X134" s="15"/>
      <c r="Y134" s="16"/>
    </row>
    <row r="135" spans="1:25" ht="56.25" customHeight="1" x14ac:dyDescent="0.35">
      <c r="A135" s="8">
        <v>134</v>
      </c>
      <c r="B135" s="57" t="s">
        <v>165</v>
      </c>
      <c r="C135" s="149" t="s">
        <v>179</v>
      </c>
      <c r="D135" s="137">
        <v>45545</v>
      </c>
      <c r="E135" s="58">
        <v>20.975956287931702</v>
      </c>
      <c r="F135" s="58">
        <v>105.791235871303</v>
      </c>
      <c r="G135" s="20">
        <v>7.12</v>
      </c>
      <c r="H135" s="180">
        <v>0.5</v>
      </c>
      <c r="I135" s="180">
        <v>0.625</v>
      </c>
      <c r="J135" s="20">
        <v>3</v>
      </c>
      <c r="K135" s="8" t="s">
        <v>456</v>
      </c>
      <c r="L135" s="59">
        <v>100</v>
      </c>
      <c r="M135" s="59"/>
      <c r="N135" s="41" t="s">
        <v>475</v>
      </c>
      <c r="O135" s="43" t="s">
        <v>186</v>
      </c>
      <c r="Q135" s="269">
        <v>69.239999999999995</v>
      </c>
      <c r="R135" s="213">
        <v>0.17</v>
      </c>
      <c r="S135" s="277">
        <v>26.1</v>
      </c>
      <c r="T135" s="278" t="e">
        <f>Table_1[[#This Row],[Rain_fall (mm)]]/Table_1[[#This Row],[Factors]]</f>
        <v>#VALUE!</v>
      </c>
      <c r="U135" s="278" t="s">
        <v>562</v>
      </c>
      <c r="V135" s="15"/>
      <c r="W135" s="15"/>
      <c r="X135" s="15"/>
      <c r="Y135" s="16"/>
    </row>
    <row r="136" spans="1:25" ht="56.25" customHeight="1" x14ac:dyDescent="0.35">
      <c r="A136" s="10">
        <v>135</v>
      </c>
      <c r="B136" s="57" t="s">
        <v>165</v>
      </c>
      <c r="C136" s="149" t="s">
        <v>187</v>
      </c>
      <c r="D136" s="137">
        <v>45545</v>
      </c>
      <c r="E136" s="42">
        <v>21.013148430000001</v>
      </c>
      <c r="F136" s="42">
        <v>105.82040019999999</v>
      </c>
      <c r="G136" s="20">
        <v>8.76</v>
      </c>
      <c r="H136" s="180">
        <v>0.25</v>
      </c>
      <c r="I136" s="20">
        <v>0</v>
      </c>
      <c r="J136" s="20">
        <v>0</v>
      </c>
      <c r="K136" s="8" t="s">
        <v>462</v>
      </c>
      <c r="L136" s="59">
        <v>40</v>
      </c>
      <c r="M136" s="59"/>
      <c r="N136" s="55" t="s">
        <v>466</v>
      </c>
      <c r="O136" s="43" t="s">
        <v>188</v>
      </c>
      <c r="Q136" s="269">
        <v>69.239999999999995</v>
      </c>
      <c r="R136" s="213">
        <v>309.52</v>
      </c>
      <c r="S136" s="277">
        <v>26.1</v>
      </c>
      <c r="T136" s="278" t="e">
        <f>Table_1[[#This Row],[Rain_fall (mm)]]/Table_1[[#This Row],[Factors]]</f>
        <v>#VALUE!</v>
      </c>
      <c r="U136" s="278" t="s">
        <v>562</v>
      </c>
      <c r="V136" s="15"/>
      <c r="W136" s="15"/>
      <c r="X136" s="15"/>
      <c r="Y136" s="16"/>
    </row>
    <row r="137" spans="1:25" ht="56.25" customHeight="1" x14ac:dyDescent="0.35">
      <c r="A137" s="8">
        <v>136</v>
      </c>
      <c r="B137" s="57" t="s">
        <v>165</v>
      </c>
      <c r="C137" s="149" t="s">
        <v>189</v>
      </c>
      <c r="D137" s="137">
        <v>45545</v>
      </c>
      <c r="E137" s="42">
        <v>20.969924422824999</v>
      </c>
      <c r="F137" s="42">
        <v>105.78590597920601</v>
      </c>
      <c r="G137" s="20">
        <v>8.06</v>
      </c>
      <c r="H137" s="180">
        <v>0.25</v>
      </c>
      <c r="I137" s="20">
        <v>0</v>
      </c>
      <c r="J137" s="20">
        <v>0</v>
      </c>
      <c r="K137" s="8" t="s">
        <v>462</v>
      </c>
      <c r="L137" s="59">
        <v>30</v>
      </c>
      <c r="M137" s="59"/>
      <c r="N137" s="41" t="s">
        <v>466</v>
      </c>
      <c r="O137" s="43" t="s">
        <v>188</v>
      </c>
      <c r="Q137" s="269">
        <v>69.239999999999995</v>
      </c>
      <c r="R137" s="213">
        <v>14.98</v>
      </c>
      <c r="S137" s="277">
        <v>26.1</v>
      </c>
      <c r="T137" s="278" t="e">
        <f>Table_1[[#This Row],[Rain_fall (mm)]]/Table_1[[#This Row],[Factors]]</f>
        <v>#VALUE!</v>
      </c>
      <c r="U137" s="278" t="s">
        <v>562</v>
      </c>
      <c r="V137" s="15"/>
      <c r="W137" s="15"/>
      <c r="X137" s="15"/>
      <c r="Y137" s="16"/>
    </row>
    <row r="138" spans="1:25" ht="56.25" customHeight="1" x14ac:dyDescent="0.35">
      <c r="A138" s="8">
        <v>137</v>
      </c>
      <c r="B138" s="57" t="s">
        <v>165</v>
      </c>
      <c r="C138" s="150" t="s">
        <v>190</v>
      </c>
      <c r="D138" s="137">
        <v>45545</v>
      </c>
      <c r="E138" s="42">
        <v>20.968079774698101</v>
      </c>
      <c r="F138" s="42">
        <v>105.784170995633</v>
      </c>
      <c r="G138" s="20">
        <v>10.9</v>
      </c>
      <c r="H138" s="180">
        <v>0.25</v>
      </c>
      <c r="I138" s="20">
        <v>0</v>
      </c>
      <c r="J138" s="20">
        <v>0</v>
      </c>
      <c r="K138" s="8" t="s">
        <v>462</v>
      </c>
      <c r="L138" s="59">
        <v>80</v>
      </c>
      <c r="M138" s="59"/>
      <c r="N138" s="55" t="s">
        <v>475</v>
      </c>
      <c r="O138" s="43" t="s">
        <v>188</v>
      </c>
      <c r="Q138" s="269">
        <v>69.239999999999995</v>
      </c>
      <c r="R138" s="213">
        <v>36.43</v>
      </c>
      <c r="S138" s="277">
        <v>26.1</v>
      </c>
      <c r="T138" s="278" t="e">
        <f>Table_1[[#This Row],[Rain_fall (mm)]]/Table_1[[#This Row],[Factors]]</f>
        <v>#VALUE!</v>
      </c>
      <c r="U138" s="278" t="s">
        <v>562</v>
      </c>
      <c r="V138" s="15"/>
      <c r="W138" s="15"/>
      <c r="X138" s="15"/>
      <c r="Y138" s="16"/>
    </row>
    <row r="139" spans="1:25" ht="56.25" customHeight="1" x14ac:dyDescent="0.35">
      <c r="A139" s="10">
        <v>138</v>
      </c>
      <c r="B139" s="57" t="s">
        <v>165</v>
      </c>
      <c r="C139" s="150" t="s">
        <v>191</v>
      </c>
      <c r="D139" s="137">
        <v>45545</v>
      </c>
      <c r="E139" s="42">
        <v>20.967722767458699</v>
      </c>
      <c r="F139" s="42">
        <v>105.78914165250001</v>
      </c>
      <c r="G139" s="20">
        <v>7.71</v>
      </c>
      <c r="H139" s="180">
        <v>1</v>
      </c>
      <c r="I139" s="180">
        <v>0.20833333333333334</v>
      </c>
      <c r="J139" s="20">
        <v>5</v>
      </c>
      <c r="K139" s="8" t="s">
        <v>462</v>
      </c>
      <c r="L139" s="59">
        <v>40</v>
      </c>
      <c r="M139" s="59"/>
      <c r="N139" s="61" t="s">
        <v>469</v>
      </c>
      <c r="O139" s="43" t="s">
        <v>192</v>
      </c>
      <c r="Q139" s="269">
        <v>69.239999999999995</v>
      </c>
      <c r="R139" s="213">
        <v>96.5</v>
      </c>
      <c r="S139" s="277">
        <v>26.1</v>
      </c>
      <c r="T139" s="278" t="e">
        <f>Table_1[[#This Row],[Rain_fall (mm)]]/Table_1[[#This Row],[Factors]]</f>
        <v>#VALUE!</v>
      </c>
      <c r="U139" s="278" t="s">
        <v>562</v>
      </c>
      <c r="V139" s="15"/>
      <c r="W139" s="15"/>
      <c r="X139" s="15"/>
      <c r="Y139" s="16" t="s">
        <v>193</v>
      </c>
    </row>
    <row r="140" spans="1:25" ht="56.25" customHeight="1" x14ac:dyDescent="0.35">
      <c r="A140" s="8">
        <v>139</v>
      </c>
      <c r="B140" s="62" t="s">
        <v>194</v>
      </c>
      <c r="C140" s="159" t="s">
        <v>195</v>
      </c>
      <c r="D140" s="137">
        <v>45631</v>
      </c>
      <c r="E140" s="29">
        <v>21.041499999999999</v>
      </c>
      <c r="F140" s="29">
        <v>105.8412</v>
      </c>
      <c r="G140" s="20">
        <v>13.07</v>
      </c>
      <c r="H140" s="180">
        <v>0.75</v>
      </c>
      <c r="I140" s="180">
        <v>0.79166666666666663</v>
      </c>
      <c r="J140" s="20">
        <v>1</v>
      </c>
      <c r="K140" s="8" t="s">
        <v>456</v>
      </c>
      <c r="L140" s="205">
        <v>50</v>
      </c>
      <c r="M140" s="64">
        <v>90</v>
      </c>
      <c r="N140" s="61" t="s">
        <v>469</v>
      </c>
      <c r="O140" s="65" t="s">
        <v>196</v>
      </c>
      <c r="Q140" s="269">
        <v>0.09</v>
      </c>
      <c r="R140" s="213">
        <v>209.83</v>
      </c>
      <c r="S140" s="277">
        <v>0</v>
      </c>
      <c r="T140" s="278" t="e">
        <f>Table_1[[#This Row],[Rain_fall (mm)]]/Table_1[[#This Row],[Factors]]</f>
        <v>#VALUE!</v>
      </c>
      <c r="U140" s="278" t="s">
        <v>562</v>
      </c>
      <c r="V140" s="15"/>
      <c r="W140" s="15"/>
      <c r="X140" s="15"/>
      <c r="Y140" s="16"/>
    </row>
    <row r="141" spans="1:25" ht="56.25" customHeight="1" x14ac:dyDescent="0.35">
      <c r="A141" s="8">
        <v>140</v>
      </c>
      <c r="B141" s="63" t="s">
        <v>197</v>
      </c>
      <c r="C141" s="159" t="s">
        <v>198</v>
      </c>
      <c r="D141" s="138">
        <v>45424</v>
      </c>
      <c r="E141" s="66">
        <v>21.0219667</v>
      </c>
      <c r="F141" s="66">
        <v>105.8056084</v>
      </c>
      <c r="G141" s="12">
        <v>9.24</v>
      </c>
      <c r="H141" s="180">
        <v>0.75</v>
      </c>
      <c r="I141" s="180">
        <v>0.84722222222222221</v>
      </c>
      <c r="J141" s="20">
        <v>2.33</v>
      </c>
      <c r="K141" s="8" t="s">
        <v>456</v>
      </c>
      <c r="L141" s="67">
        <v>30</v>
      </c>
      <c r="M141" s="67">
        <v>50</v>
      </c>
      <c r="N141" s="61" t="s">
        <v>469</v>
      </c>
      <c r="O141" s="68" t="s">
        <v>38</v>
      </c>
      <c r="Q141" s="269">
        <v>8.17</v>
      </c>
      <c r="R141" s="213">
        <v>187.72</v>
      </c>
      <c r="S141" s="277">
        <v>33.1</v>
      </c>
      <c r="T141" s="278" t="e">
        <f>Table_1[[#This Row],[Rain_fall (mm)]]/Table_1[[#This Row],[Factors]]</f>
        <v>#VALUE!</v>
      </c>
      <c r="U141" s="278" t="s">
        <v>562</v>
      </c>
      <c r="V141" s="15"/>
      <c r="W141" s="15"/>
      <c r="X141" s="15"/>
      <c r="Y141" s="16"/>
    </row>
    <row r="142" spans="1:25" ht="56.25" customHeight="1" x14ac:dyDescent="0.35">
      <c r="A142" s="10">
        <v>141</v>
      </c>
      <c r="B142" s="34" t="s">
        <v>197</v>
      </c>
      <c r="C142" s="149" t="s">
        <v>187</v>
      </c>
      <c r="D142" s="138">
        <v>45517</v>
      </c>
      <c r="E142" s="69">
        <v>21.034543800000002</v>
      </c>
      <c r="F142" s="69">
        <v>105.8430951</v>
      </c>
      <c r="G142" s="20">
        <v>8.76</v>
      </c>
      <c r="H142" s="180">
        <v>0.72916666666666663</v>
      </c>
      <c r="I142" s="180">
        <v>0.83333333333333337</v>
      </c>
      <c r="J142" s="20">
        <v>2.5</v>
      </c>
      <c r="K142" s="8" t="s">
        <v>456</v>
      </c>
      <c r="L142" s="71">
        <v>25</v>
      </c>
      <c r="M142" s="71">
        <v>35</v>
      </c>
      <c r="N142" s="72" t="s">
        <v>487</v>
      </c>
      <c r="O142" s="73" t="s">
        <v>199</v>
      </c>
      <c r="Q142" s="269">
        <v>8.86</v>
      </c>
      <c r="R142" s="213">
        <v>919.93</v>
      </c>
      <c r="S142" s="277">
        <v>23.8</v>
      </c>
      <c r="T142" s="278" t="e">
        <f>Table_1[[#This Row],[Rain_fall (mm)]]/Table_1[[#This Row],[Factors]]</f>
        <v>#VALUE!</v>
      </c>
      <c r="U142" s="278" t="s">
        <v>562</v>
      </c>
      <c r="V142" s="15"/>
      <c r="W142" s="15"/>
      <c r="X142" s="15"/>
      <c r="Y142" s="16"/>
    </row>
    <row r="143" spans="1:25" ht="56.25" customHeight="1" x14ac:dyDescent="0.35">
      <c r="A143" s="8">
        <v>142</v>
      </c>
      <c r="B143" s="63" t="s">
        <v>197</v>
      </c>
      <c r="C143" s="159" t="s">
        <v>78</v>
      </c>
      <c r="D143" s="138">
        <v>45424</v>
      </c>
      <c r="E143" s="66">
        <v>21.027722499999999</v>
      </c>
      <c r="F143" s="66">
        <v>105.8547909</v>
      </c>
      <c r="G143" s="12">
        <v>14.06</v>
      </c>
      <c r="H143" s="182">
        <v>0.70833333333333337</v>
      </c>
      <c r="I143" s="182">
        <v>0.83333333333333337</v>
      </c>
      <c r="J143" s="12">
        <v>3</v>
      </c>
      <c r="K143" s="8" t="s">
        <v>456</v>
      </c>
      <c r="L143" s="67">
        <v>30</v>
      </c>
      <c r="M143" s="67">
        <v>45</v>
      </c>
      <c r="N143" s="55" t="s">
        <v>466</v>
      </c>
      <c r="O143" s="74" t="s">
        <v>64</v>
      </c>
      <c r="Q143" s="269">
        <v>8.17</v>
      </c>
      <c r="R143" s="213">
        <v>141.18</v>
      </c>
      <c r="S143" s="277">
        <v>33.6</v>
      </c>
      <c r="T143" s="278" t="e">
        <f>Table_1[[#This Row],[Rain_fall (mm)]]/Table_1[[#This Row],[Factors]]</f>
        <v>#VALUE!</v>
      </c>
      <c r="U143" s="278" t="s">
        <v>562</v>
      </c>
      <c r="V143" s="15"/>
      <c r="W143" s="15"/>
      <c r="X143" s="15"/>
      <c r="Y143" s="16"/>
    </row>
    <row r="144" spans="1:25" ht="56.25" customHeight="1" x14ac:dyDescent="0.35">
      <c r="A144" s="8">
        <v>143</v>
      </c>
      <c r="B144" s="70" t="s">
        <v>197</v>
      </c>
      <c r="C144" s="160" t="s">
        <v>200</v>
      </c>
      <c r="D144" s="138">
        <v>45424</v>
      </c>
      <c r="E144" s="75">
        <v>21.020116399999999</v>
      </c>
      <c r="F144" s="75">
        <v>105.8433667</v>
      </c>
      <c r="G144" s="176">
        <v>8.85</v>
      </c>
      <c r="H144" s="182">
        <v>0.70833333333333337</v>
      </c>
      <c r="I144" s="182">
        <v>0.83333333333333337</v>
      </c>
      <c r="J144" s="12">
        <v>3</v>
      </c>
      <c r="K144" s="76" t="s">
        <v>456</v>
      </c>
      <c r="L144" s="71">
        <v>35</v>
      </c>
      <c r="M144" s="71">
        <v>50</v>
      </c>
      <c r="N144" s="77" t="s">
        <v>466</v>
      </c>
      <c r="O144" s="73" t="s">
        <v>64</v>
      </c>
      <c r="Q144" s="269">
        <v>8.17</v>
      </c>
      <c r="R144" s="213">
        <v>152.51</v>
      </c>
      <c r="S144" s="277">
        <v>33.1</v>
      </c>
      <c r="T144" s="278" t="e">
        <f>Table_1[[#This Row],[Rain_fall (mm)]]/Table_1[[#This Row],[Factors]]</f>
        <v>#VALUE!</v>
      </c>
      <c r="U144" s="278" t="s">
        <v>562</v>
      </c>
      <c r="V144" s="15"/>
      <c r="W144" s="15"/>
      <c r="X144" s="15"/>
      <c r="Y144" s="16"/>
    </row>
    <row r="145" spans="1:26" ht="56.25" customHeight="1" x14ac:dyDescent="0.35">
      <c r="A145" s="10">
        <v>144</v>
      </c>
      <c r="B145" s="63" t="s">
        <v>197</v>
      </c>
      <c r="C145" s="147" t="s">
        <v>201</v>
      </c>
      <c r="D145" s="137">
        <v>45448</v>
      </c>
      <c r="E145" s="25">
        <v>21.033799999999999</v>
      </c>
      <c r="F145" s="25">
        <v>105.845</v>
      </c>
      <c r="G145" s="20">
        <v>16.010000000000002</v>
      </c>
      <c r="H145" s="180">
        <v>0.25</v>
      </c>
      <c r="I145" s="180">
        <v>0.41666666666666669</v>
      </c>
      <c r="J145" s="20">
        <v>4</v>
      </c>
      <c r="K145" s="8" t="s">
        <v>456</v>
      </c>
      <c r="L145" s="27">
        <v>50</v>
      </c>
      <c r="M145" s="27">
        <v>50</v>
      </c>
      <c r="N145" s="55" t="s">
        <v>466</v>
      </c>
      <c r="O145" s="53" t="s">
        <v>202</v>
      </c>
      <c r="Q145" s="269">
        <v>18.600000000000001</v>
      </c>
      <c r="R145" s="213">
        <v>705.55</v>
      </c>
      <c r="S145" s="277">
        <v>93.8</v>
      </c>
      <c r="T145" s="278" t="e">
        <f>Table_1[[#This Row],[Rain_fall (mm)]]/Table_1[[#This Row],[Factors]]</f>
        <v>#VALUE!</v>
      </c>
      <c r="U145" s="278" t="s">
        <v>562</v>
      </c>
      <c r="V145" s="15"/>
      <c r="W145" s="15"/>
      <c r="X145" s="15"/>
      <c r="Y145" s="16"/>
    </row>
    <row r="146" spans="1:26" ht="56.25" customHeight="1" x14ac:dyDescent="0.35">
      <c r="A146" s="8">
        <v>145</v>
      </c>
      <c r="B146" s="63" t="s">
        <v>197</v>
      </c>
      <c r="C146" s="147" t="s">
        <v>198</v>
      </c>
      <c r="D146" s="137">
        <v>45448</v>
      </c>
      <c r="E146" s="66">
        <v>21.0219667</v>
      </c>
      <c r="F146" s="66">
        <v>105.8056084</v>
      </c>
      <c r="G146" s="12">
        <v>9.24</v>
      </c>
      <c r="H146" s="180">
        <v>0.25</v>
      </c>
      <c r="I146" s="180">
        <v>0.41666666666666669</v>
      </c>
      <c r="J146" s="20">
        <v>4</v>
      </c>
      <c r="K146" s="8" t="s">
        <v>456</v>
      </c>
      <c r="L146" s="27">
        <v>50</v>
      </c>
      <c r="M146" s="27">
        <v>50</v>
      </c>
      <c r="N146" s="77" t="s">
        <v>466</v>
      </c>
      <c r="O146" s="43" t="s">
        <v>202</v>
      </c>
      <c r="Q146" s="269">
        <v>18.600000000000001</v>
      </c>
      <c r="R146" s="213">
        <v>187.72</v>
      </c>
      <c r="S146" s="277">
        <v>93.8</v>
      </c>
      <c r="T146" s="278" t="e">
        <f>Table_1[[#This Row],[Rain_fall (mm)]]/Table_1[[#This Row],[Factors]]</f>
        <v>#VALUE!</v>
      </c>
      <c r="U146" s="278" t="s">
        <v>562</v>
      </c>
      <c r="V146" s="15"/>
      <c r="W146" s="15"/>
      <c r="X146" s="15"/>
      <c r="Y146" s="16"/>
    </row>
    <row r="147" spans="1:26" ht="56.25" customHeight="1" x14ac:dyDescent="0.35">
      <c r="A147" s="8">
        <v>146</v>
      </c>
      <c r="B147" s="63" t="s">
        <v>197</v>
      </c>
      <c r="C147" s="147" t="s">
        <v>187</v>
      </c>
      <c r="D147" s="137">
        <v>45448</v>
      </c>
      <c r="E147" s="69">
        <v>21.034543800000002</v>
      </c>
      <c r="F147" s="69">
        <v>105.8430951</v>
      </c>
      <c r="G147" s="20">
        <v>8.76</v>
      </c>
      <c r="H147" s="180">
        <v>0.25</v>
      </c>
      <c r="I147" s="180">
        <v>0.41666666666666669</v>
      </c>
      <c r="J147" s="20">
        <v>4</v>
      </c>
      <c r="K147" s="8" t="s">
        <v>456</v>
      </c>
      <c r="L147" s="27">
        <v>50</v>
      </c>
      <c r="M147" s="27">
        <v>50</v>
      </c>
      <c r="N147" s="55" t="s">
        <v>466</v>
      </c>
      <c r="O147" s="43" t="s">
        <v>202</v>
      </c>
      <c r="Q147" s="269">
        <v>18.600000000000001</v>
      </c>
      <c r="R147" s="213">
        <v>919.93</v>
      </c>
      <c r="S147" s="277">
        <v>93.8</v>
      </c>
      <c r="T147" s="278" t="e">
        <f>Table_1[[#This Row],[Rain_fall (mm)]]/Table_1[[#This Row],[Factors]]</f>
        <v>#VALUE!</v>
      </c>
      <c r="U147" s="278" t="s">
        <v>562</v>
      </c>
      <c r="V147" s="15"/>
      <c r="W147" s="15"/>
      <c r="X147" s="15"/>
      <c r="Y147" s="16"/>
    </row>
    <row r="148" spans="1:26" ht="56.25" customHeight="1" x14ac:dyDescent="0.35">
      <c r="A148" s="10">
        <v>147</v>
      </c>
      <c r="B148" s="63" t="s">
        <v>197</v>
      </c>
      <c r="C148" s="147" t="s">
        <v>78</v>
      </c>
      <c r="D148" s="137">
        <v>45448</v>
      </c>
      <c r="E148" s="66">
        <v>21.027722499999999</v>
      </c>
      <c r="F148" s="66">
        <v>105.8547909</v>
      </c>
      <c r="G148" s="12">
        <v>14.06</v>
      </c>
      <c r="H148" s="180">
        <v>0.25</v>
      </c>
      <c r="I148" s="180">
        <v>0.41666666666666669</v>
      </c>
      <c r="J148" s="20">
        <v>4</v>
      </c>
      <c r="K148" s="8" t="s">
        <v>456</v>
      </c>
      <c r="L148" s="27">
        <v>50</v>
      </c>
      <c r="M148" s="27">
        <v>50</v>
      </c>
      <c r="N148" s="77" t="s">
        <v>466</v>
      </c>
      <c r="O148" s="43" t="s">
        <v>202</v>
      </c>
      <c r="Q148" s="269">
        <v>18.600000000000001</v>
      </c>
      <c r="R148" s="213">
        <v>141.18</v>
      </c>
      <c r="S148" s="277">
        <v>102.4</v>
      </c>
      <c r="T148" s="278" t="e">
        <f>Table_1[[#This Row],[Rain_fall (mm)]]/Table_1[[#This Row],[Factors]]</f>
        <v>#VALUE!</v>
      </c>
      <c r="U148" s="278" t="s">
        <v>562</v>
      </c>
      <c r="V148" s="15"/>
      <c r="W148" s="15"/>
      <c r="X148" s="15"/>
      <c r="Y148" s="16"/>
    </row>
    <row r="149" spans="1:26" ht="56.25" customHeight="1" x14ac:dyDescent="0.35">
      <c r="A149" s="8">
        <v>148</v>
      </c>
      <c r="B149" s="63" t="s">
        <v>197</v>
      </c>
      <c r="C149" s="149" t="s">
        <v>200</v>
      </c>
      <c r="D149" s="137">
        <v>45496</v>
      </c>
      <c r="E149" s="69">
        <v>21.020116399999999</v>
      </c>
      <c r="F149" s="69">
        <v>105.8433667</v>
      </c>
      <c r="G149" s="176">
        <v>8.85</v>
      </c>
      <c r="H149" s="180">
        <v>0.29166666666666669</v>
      </c>
      <c r="I149" s="180">
        <v>0.5</v>
      </c>
      <c r="J149" s="20">
        <v>5</v>
      </c>
      <c r="K149" s="8" t="s">
        <v>456</v>
      </c>
      <c r="L149" s="27">
        <v>60</v>
      </c>
      <c r="M149" s="27">
        <v>30</v>
      </c>
      <c r="N149" s="55" t="s">
        <v>466</v>
      </c>
      <c r="O149" s="43" t="s">
        <v>203</v>
      </c>
      <c r="Q149" s="269">
        <v>7.92</v>
      </c>
      <c r="R149" s="213">
        <v>152.51</v>
      </c>
      <c r="S149" s="277">
        <v>135.30000000000001</v>
      </c>
      <c r="T149" s="278" t="e">
        <f>Table_1[[#This Row],[Rain_fall (mm)]]/Table_1[[#This Row],[Factors]]</f>
        <v>#VALUE!</v>
      </c>
      <c r="U149" s="278" t="s">
        <v>562</v>
      </c>
      <c r="V149" s="15"/>
      <c r="W149" s="15"/>
      <c r="X149" s="15"/>
      <c r="Y149" s="16"/>
    </row>
    <row r="150" spans="1:26" ht="56.25" customHeight="1" x14ac:dyDescent="0.35">
      <c r="A150" s="8">
        <v>149</v>
      </c>
      <c r="B150" s="63" t="s">
        <v>197</v>
      </c>
      <c r="C150" s="147" t="s">
        <v>204</v>
      </c>
      <c r="D150" s="137">
        <v>45496</v>
      </c>
      <c r="E150" s="25">
        <v>21.0242</v>
      </c>
      <c r="F150" s="25">
        <v>105.855</v>
      </c>
      <c r="G150" s="10">
        <v>11.02</v>
      </c>
      <c r="H150" s="195">
        <v>0.58333333333333337</v>
      </c>
      <c r="I150" s="180">
        <v>0.70833333333333337</v>
      </c>
      <c r="J150" s="20">
        <v>3</v>
      </c>
      <c r="K150" s="8" t="s">
        <v>456</v>
      </c>
      <c r="L150" s="27">
        <v>60</v>
      </c>
      <c r="M150" s="27">
        <v>30</v>
      </c>
      <c r="N150" s="61" t="s">
        <v>469</v>
      </c>
      <c r="O150" s="43" t="s">
        <v>205</v>
      </c>
      <c r="Q150" s="269">
        <v>7.92</v>
      </c>
      <c r="R150" s="213">
        <v>283.8</v>
      </c>
      <c r="S150" s="277">
        <v>114.4</v>
      </c>
      <c r="T150" s="278" t="e">
        <f>Table_1[[#This Row],[Rain_fall (mm)]]/Table_1[[#This Row],[Factors]]</f>
        <v>#VALUE!</v>
      </c>
      <c r="U150" s="278" t="s">
        <v>562</v>
      </c>
      <c r="V150" s="15"/>
      <c r="W150" s="15"/>
      <c r="X150" s="15"/>
      <c r="Y150" s="15"/>
      <c r="Z150" s="16"/>
    </row>
    <row r="151" spans="1:26" ht="56.25" customHeight="1" x14ac:dyDescent="0.35">
      <c r="A151" s="10">
        <v>150</v>
      </c>
      <c r="B151" s="63" t="s">
        <v>197</v>
      </c>
      <c r="C151" s="147" t="s">
        <v>206</v>
      </c>
      <c r="D151" s="137">
        <v>45548</v>
      </c>
      <c r="E151" s="25">
        <v>21.026199999999999</v>
      </c>
      <c r="F151" s="25">
        <v>105.8514</v>
      </c>
      <c r="G151" s="10">
        <v>9.0399999999999991</v>
      </c>
      <c r="H151" s="195">
        <v>0.58333333333333337</v>
      </c>
      <c r="I151" s="180">
        <v>0.70833333333333337</v>
      </c>
      <c r="J151" s="20">
        <v>3</v>
      </c>
      <c r="K151" s="8" t="s">
        <v>456</v>
      </c>
      <c r="L151" s="27">
        <v>30</v>
      </c>
      <c r="M151" s="27">
        <v>0</v>
      </c>
      <c r="N151" s="61" t="s">
        <v>469</v>
      </c>
      <c r="O151" s="53" t="s">
        <v>205</v>
      </c>
      <c r="Q151" s="269">
        <v>8.84</v>
      </c>
      <c r="R151" s="213">
        <v>67.510000000000005</v>
      </c>
      <c r="S151" s="277">
        <v>1.6</v>
      </c>
      <c r="T151" s="278" t="e">
        <f>Table_1[[#This Row],[Rain_fall (mm)]]/Table_1[[#This Row],[Factors]]</f>
        <v>#VALUE!</v>
      </c>
      <c r="U151" s="278" t="s">
        <v>562</v>
      </c>
      <c r="V151" s="15"/>
      <c r="W151" s="15"/>
      <c r="X151" s="15"/>
      <c r="Y151" s="15"/>
      <c r="Z151" s="16"/>
    </row>
    <row r="152" spans="1:26" ht="56.25" customHeight="1" x14ac:dyDescent="0.35">
      <c r="A152" s="8">
        <v>151</v>
      </c>
      <c r="B152" s="63" t="s">
        <v>197</v>
      </c>
      <c r="C152" s="147" t="s">
        <v>207</v>
      </c>
      <c r="D152" s="137">
        <v>45548</v>
      </c>
      <c r="E152" s="25">
        <v>21.0153</v>
      </c>
      <c r="F152" s="25">
        <v>105.8467</v>
      </c>
      <c r="G152" s="10">
        <v>15.95</v>
      </c>
      <c r="H152" s="10">
        <v>0</v>
      </c>
      <c r="I152" s="180">
        <v>0</v>
      </c>
      <c r="J152" s="20">
        <v>0</v>
      </c>
      <c r="K152" s="8" t="s">
        <v>456</v>
      </c>
      <c r="L152" s="27">
        <v>30</v>
      </c>
      <c r="M152" s="27">
        <v>0</v>
      </c>
      <c r="N152" s="41" t="s">
        <v>466</v>
      </c>
      <c r="O152" s="43" t="s">
        <v>208</v>
      </c>
      <c r="Q152" s="269">
        <v>8.84</v>
      </c>
      <c r="R152" s="213">
        <v>230.09</v>
      </c>
      <c r="S152" s="277">
        <v>1.6</v>
      </c>
      <c r="T152" s="278" t="e">
        <f>Table_1[[#This Row],[Rain_fall (mm)]]/Table_1[[#This Row],[Factors]]</f>
        <v>#VALUE!</v>
      </c>
      <c r="U152" s="278" t="s">
        <v>562</v>
      </c>
      <c r="V152" s="15"/>
      <c r="W152" s="15"/>
      <c r="X152" s="15"/>
      <c r="Y152" s="15"/>
      <c r="Z152" s="16"/>
    </row>
    <row r="153" spans="1:26" ht="56.25" customHeight="1" x14ac:dyDescent="0.35">
      <c r="A153" s="8">
        <v>152</v>
      </c>
      <c r="B153" s="63" t="s">
        <v>197</v>
      </c>
      <c r="C153" s="147" t="s">
        <v>187</v>
      </c>
      <c r="D153" s="137">
        <v>44060</v>
      </c>
      <c r="E153" s="69">
        <v>21.034543800000002</v>
      </c>
      <c r="F153" s="69">
        <v>105.8430951</v>
      </c>
      <c r="G153" s="10">
        <v>8.76</v>
      </c>
      <c r="H153" s="19">
        <v>0.66666666666666663</v>
      </c>
      <c r="I153" s="180">
        <v>0.75</v>
      </c>
      <c r="J153" s="20">
        <v>2</v>
      </c>
      <c r="K153" s="8" t="s">
        <v>456</v>
      </c>
      <c r="L153" s="27">
        <v>60</v>
      </c>
      <c r="M153" s="27">
        <v>107.9</v>
      </c>
      <c r="N153" s="41" t="s">
        <v>466</v>
      </c>
      <c r="O153" s="43" t="s">
        <v>209</v>
      </c>
      <c r="Q153" s="269">
        <v>33.07</v>
      </c>
      <c r="R153" s="213">
        <v>919.93</v>
      </c>
      <c r="S153" s="277">
        <v>17.399999999999999</v>
      </c>
      <c r="T153" s="278" t="e">
        <f>Table_1[[#This Row],[Rain_fall (mm)]]/Table_1[[#This Row],[Factors]]</f>
        <v>#VALUE!</v>
      </c>
      <c r="U153" s="278" t="s">
        <v>562</v>
      </c>
      <c r="V153" s="15"/>
      <c r="W153" s="15"/>
      <c r="X153" s="15"/>
      <c r="Y153" s="15"/>
      <c r="Z153" s="16"/>
    </row>
    <row r="154" spans="1:26" ht="56.25" customHeight="1" x14ac:dyDescent="0.35">
      <c r="A154" s="10">
        <v>153</v>
      </c>
      <c r="B154" s="63" t="s">
        <v>197</v>
      </c>
      <c r="C154" s="147" t="s">
        <v>210</v>
      </c>
      <c r="D154" s="137">
        <v>44060</v>
      </c>
      <c r="E154" s="25">
        <v>21.0318</v>
      </c>
      <c r="F154" s="25">
        <v>105.84050000000001</v>
      </c>
      <c r="G154" s="10">
        <v>16.45</v>
      </c>
      <c r="H154" s="195">
        <v>0.65972222222222221</v>
      </c>
      <c r="I154" s="180">
        <v>0.70138888888888884</v>
      </c>
      <c r="J154" s="20">
        <v>1</v>
      </c>
      <c r="K154" s="8" t="s">
        <v>456</v>
      </c>
      <c r="L154" s="27">
        <v>60</v>
      </c>
      <c r="M154" s="27">
        <v>107.9</v>
      </c>
      <c r="N154" s="61" t="s">
        <v>469</v>
      </c>
      <c r="O154" s="43" t="s">
        <v>211</v>
      </c>
      <c r="Q154" s="269">
        <v>33.07</v>
      </c>
      <c r="R154" s="213">
        <v>560.94000000000005</v>
      </c>
      <c r="S154" s="277">
        <v>17.399999999999999</v>
      </c>
      <c r="T154" s="278" t="e">
        <f>Table_1[[#This Row],[Rain_fall (mm)]]/Table_1[[#This Row],[Factors]]</f>
        <v>#VALUE!</v>
      </c>
      <c r="U154" s="278" t="s">
        <v>562</v>
      </c>
      <c r="V154" s="78"/>
      <c r="W154" s="78"/>
      <c r="X154" s="78"/>
      <c r="Y154" s="78"/>
      <c r="Z154" s="79"/>
    </row>
    <row r="155" spans="1:26" ht="56.25" customHeight="1" x14ac:dyDescent="0.35">
      <c r="A155" s="8">
        <v>154</v>
      </c>
      <c r="B155" s="63" t="s">
        <v>197</v>
      </c>
      <c r="C155" s="147" t="s">
        <v>198</v>
      </c>
      <c r="D155" s="137">
        <v>44060</v>
      </c>
      <c r="E155" s="66">
        <v>21.0219667</v>
      </c>
      <c r="F155" s="66">
        <v>105.8056084</v>
      </c>
      <c r="G155" s="8">
        <v>9.24</v>
      </c>
      <c r="H155" s="19">
        <v>0.66666666666666663</v>
      </c>
      <c r="I155" s="180">
        <v>0.75</v>
      </c>
      <c r="J155" s="20">
        <v>2</v>
      </c>
      <c r="K155" s="8" t="s">
        <v>456</v>
      </c>
      <c r="L155" s="27">
        <v>60</v>
      </c>
      <c r="M155" s="27">
        <v>107.9</v>
      </c>
      <c r="N155" s="61" t="s">
        <v>469</v>
      </c>
      <c r="O155" s="43" t="s">
        <v>212</v>
      </c>
      <c r="Q155" s="269">
        <v>33.07</v>
      </c>
      <c r="R155" s="213">
        <v>187.72</v>
      </c>
      <c r="S155" s="277">
        <v>17.399999999999999</v>
      </c>
      <c r="T155" s="278" t="e">
        <f>Table_1[[#This Row],[Rain_fall (mm)]]/Table_1[[#This Row],[Factors]]</f>
        <v>#VALUE!</v>
      </c>
      <c r="U155" s="278" t="s">
        <v>562</v>
      </c>
      <c r="V155" s="78"/>
      <c r="W155" s="78"/>
      <c r="X155" s="78"/>
      <c r="Y155" s="78"/>
      <c r="Z155" s="79"/>
    </row>
    <row r="156" spans="1:26" ht="56.25" customHeight="1" x14ac:dyDescent="0.35">
      <c r="A156" s="8">
        <v>155</v>
      </c>
      <c r="B156" s="63" t="s">
        <v>197</v>
      </c>
      <c r="C156" s="147" t="s">
        <v>213</v>
      </c>
      <c r="D156" s="137">
        <v>44710</v>
      </c>
      <c r="E156" s="25">
        <v>21.034800000000001</v>
      </c>
      <c r="F156" s="25">
        <v>105.84950000000001</v>
      </c>
      <c r="G156" s="10">
        <v>16.010000000000002</v>
      </c>
      <c r="H156" s="195">
        <v>0.54166666666666663</v>
      </c>
      <c r="I156" s="180">
        <v>0.66666666666666663</v>
      </c>
      <c r="J156" s="20">
        <v>4</v>
      </c>
      <c r="K156" s="8" t="s">
        <v>456</v>
      </c>
      <c r="L156" s="27">
        <v>50</v>
      </c>
      <c r="M156" s="27">
        <v>120</v>
      </c>
      <c r="N156" s="61" t="s">
        <v>469</v>
      </c>
      <c r="O156" s="43" t="s">
        <v>214</v>
      </c>
      <c r="Q156" s="269">
        <v>7.99</v>
      </c>
      <c r="R156" s="213">
        <v>411.46</v>
      </c>
      <c r="S156" s="277">
        <v>6.8</v>
      </c>
      <c r="T156" s="278" t="e">
        <f>Table_1[[#This Row],[Rain_fall (mm)]]/Table_1[[#This Row],[Factors]]</f>
        <v>#VALUE!</v>
      </c>
      <c r="U156" s="278" t="s">
        <v>562</v>
      </c>
      <c r="V156" s="78"/>
      <c r="W156" s="78"/>
      <c r="X156" s="78"/>
      <c r="Y156" s="78"/>
      <c r="Z156" s="79"/>
    </row>
    <row r="157" spans="1:26" ht="56.25" customHeight="1" x14ac:dyDescent="0.35">
      <c r="A157" s="10">
        <v>156</v>
      </c>
      <c r="B157" s="63" t="s">
        <v>197</v>
      </c>
      <c r="C157" s="147" t="s">
        <v>215</v>
      </c>
      <c r="D157" s="137">
        <v>44710</v>
      </c>
      <c r="E157" s="25">
        <v>21.038699999999999</v>
      </c>
      <c r="F157" s="25">
        <v>105.84699999999999</v>
      </c>
      <c r="G157" s="10">
        <v>12.86</v>
      </c>
      <c r="H157" s="20">
        <v>0</v>
      </c>
      <c r="I157" s="20">
        <v>0</v>
      </c>
      <c r="J157" s="20">
        <v>0</v>
      </c>
      <c r="K157" s="8" t="s">
        <v>456</v>
      </c>
      <c r="L157" s="27">
        <v>40</v>
      </c>
      <c r="M157" s="27">
        <v>100.3</v>
      </c>
      <c r="N157" s="61" t="s">
        <v>469</v>
      </c>
      <c r="O157" s="43" t="s">
        <v>216</v>
      </c>
      <c r="Q157" s="269">
        <v>7.99</v>
      </c>
      <c r="R157" s="213">
        <v>614.51</v>
      </c>
      <c r="S157" s="277">
        <v>6.8</v>
      </c>
      <c r="T157" s="278" t="e">
        <f>Table_1[[#This Row],[Rain_fall (mm)]]/Table_1[[#This Row],[Factors]]</f>
        <v>#VALUE!</v>
      </c>
      <c r="U157" s="278" t="s">
        <v>562</v>
      </c>
      <c r="V157" s="78"/>
      <c r="W157" s="78"/>
      <c r="X157" s="78"/>
      <c r="Y157" s="78"/>
      <c r="Z157" s="79"/>
    </row>
    <row r="158" spans="1:26" ht="56.25" customHeight="1" x14ac:dyDescent="0.35">
      <c r="A158" s="8">
        <v>157</v>
      </c>
      <c r="B158" s="63" t="s">
        <v>197</v>
      </c>
      <c r="C158" s="147" t="s">
        <v>217</v>
      </c>
      <c r="D158" s="137">
        <v>44710</v>
      </c>
      <c r="E158" s="25">
        <v>21.038599999999999</v>
      </c>
      <c r="F158" s="25">
        <v>105.8445</v>
      </c>
      <c r="G158" s="10">
        <v>13.29</v>
      </c>
      <c r="H158" s="20">
        <v>0</v>
      </c>
      <c r="I158" s="20">
        <v>0</v>
      </c>
      <c r="J158" s="20">
        <v>0</v>
      </c>
      <c r="K158" s="8" t="s">
        <v>456</v>
      </c>
      <c r="L158" s="27">
        <v>40</v>
      </c>
      <c r="M158" s="27">
        <v>100.3</v>
      </c>
      <c r="N158" s="61" t="s">
        <v>469</v>
      </c>
      <c r="O158" s="43" t="s">
        <v>216</v>
      </c>
      <c r="Q158" s="269">
        <v>7.99</v>
      </c>
      <c r="R158" s="213">
        <v>646.95000000000005</v>
      </c>
      <c r="S158" s="277">
        <v>6.8</v>
      </c>
      <c r="T158" s="278" t="e">
        <f>Table_1[[#This Row],[Rain_fall (mm)]]/Table_1[[#This Row],[Factors]]</f>
        <v>#VALUE!</v>
      </c>
      <c r="U158" s="278" t="s">
        <v>562</v>
      </c>
      <c r="V158" s="15"/>
      <c r="W158" s="15"/>
      <c r="X158" s="15"/>
      <c r="Y158" s="15"/>
      <c r="Z158" s="16"/>
    </row>
    <row r="159" spans="1:26" ht="56.25" customHeight="1" x14ac:dyDescent="0.35">
      <c r="A159" s="8">
        <v>158</v>
      </c>
      <c r="B159" s="63" t="s">
        <v>197</v>
      </c>
      <c r="C159" s="147" t="s">
        <v>198</v>
      </c>
      <c r="D159" s="137">
        <v>44725</v>
      </c>
      <c r="E159" s="66">
        <v>21.0219667</v>
      </c>
      <c r="F159" s="66">
        <v>105.8056084</v>
      </c>
      <c r="G159" s="8">
        <v>9.24</v>
      </c>
      <c r="H159" s="19">
        <v>0.82291666666666663</v>
      </c>
      <c r="I159" s="180">
        <v>0.91666666666666663</v>
      </c>
      <c r="J159" s="20">
        <v>2.75</v>
      </c>
      <c r="K159" s="8" t="s">
        <v>456</v>
      </c>
      <c r="L159" s="27">
        <v>40</v>
      </c>
      <c r="M159" s="27">
        <v>75</v>
      </c>
      <c r="N159" s="61" t="s">
        <v>469</v>
      </c>
      <c r="O159" s="53" t="s">
        <v>218</v>
      </c>
      <c r="Q159" s="269">
        <v>5.22</v>
      </c>
      <c r="R159" s="213">
        <v>187.72</v>
      </c>
      <c r="S159" s="277">
        <v>53.9</v>
      </c>
      <c r="T159" s="278" t="e">
        <f>Table_1[[#This Row],[Rain_fall (mm)]]/Table_1[[#This Row],[Factors]]</f>
        <v>#VALUE!</v>
      </c>
      <c r="U159" s="278" t="s">
        <v>562</v>
      </c>
      <c r="V159" s="15"/>
      <c r="W159" s="15"/>
      <c r="X159" s="15"/>
      <c r="Y159" s="15"/>
      <c r="Z159" s="16"/>
    </row>
    <row r="160" spans="1:26" ht="56.25" customHeight="1" x14ac:dyDescent="0.35">
      <c r="A160" s="10">
        <v>159</v>
      </c>
      <c r="B160" s="63" t="s">
        <v>197</v>
      </c>
      <c r="C160" s="147" t="s">
        <v>219</v>
      </c>
      <c r="D160" s="137">
        <v>44725</v>
      </c>
      <c r="E160" s="25">
        <v>21.024799999999999</v>
      </c>
      <c r="F160" s="25">
        <v>105.84869999999999</v>
      </c>
      <c r="G160" s="10">
        <v>13.51</v>
      </c>
      <c r="H160" s="19">
        <v>0.82291666666666663</v>
      </c>
      <c r="I160" s="180">
        <v>0.85416666666666663</v>
      </c>
      <c r="J160" s="20">
        <v>1.25</v>
      </c>
      <c r="K160" s="8" t="s">
        <v>456</v>
      </c>
      <c r="L160" s="27">
        <v>40</v>
      </c>
      <c r="M160" s="27">
        <v>75</v>
      </c>
      <c r="N160" s="61" t="s">
        <v>469</v>
      </c>
      <c r="O160" s="53" t="s">
        <v>220</v>
      </c>
      <c r="Q160" s="269">
        <v>5.22</v>
      </c>
      <c r="R160" s="213">
        <v>388.04</v>
      </c>
      <c r="S160" s="277">
        <v>53.9</v>
      </c>
      <c r="T160" s="278" t="e">
        <f>Table_1[[#This Row],[Rain_fall (mm)]]/Table_1[[#This Row],[Factors]]</f>
        <v>#VALUE!</v>
      </c>
      <c r="U160" s="278" t="s">
        <v>562</v>
      </c>
      <c r="V160" s="15"/>
      <c r="W160" s="15"/>
      <c r="X160" s="15"/>
      <c r="Y160" s="15"/>
      <c r="Z160" s="16"/>
    </row>
    <row r="161" spans="1:26" ht="56.25" customHeight="1" x14ac:dyDescent="0.35">
      <c r="A161" s="8">
        <v>160</v>
      </c>
      <c r="B161" s="63" t="s">
        <v>221</v>
      </c>
      <c r="C161" s="147" t="s">
        <v>187</v>
      </c>
      <c r="D161" s="137">
        <v>44785</v>
      </c>
      <c r="E161" s="69">
        <v>21.034543800000002</v>
      </c>
      <c r="F161" s="69">
        <v>105.8430951</v>
      </c>
      <c r="G161" s="10">
        <v>8.76</v>
      </c>
      <c r="H161" s="19">
        <v>0.22222222222222221</v>
      </c>
      <c r="I161" s="180">
        <v>0.33333333333333331</v>
      </c>
      <c r="J161" s="20">
        <v>2.33</v>
      </c>
      <c r="K161" s="8" t="s">
        <v>456</v>
      </c>
      <c r="L161" s="27">
        <v>40</v>
      </c>
      <c r="M161" s="27">
        <v>129.6</v>
      </c>
      <c r="N161" s="55" t="s">
        <v>466</v>
      </c>
      <c r="O161" s="53" t="s">
        <v>222</v>
      </c>
      <c r="Q161" s="269">
        <v>44.03</v>
      </c>
      <c r="R161" s="213">
        <v>919.93</v>
      </c>
      <c r="S161" s="277">
        <v>35.700000000000003</v>
      </c>
      <c r="T161" s="278" t="e">
        <f>Table_1[[#This Row],[Rain_fall (mm)]]/Table_1[[#This Row],[Factors]]</f>
        <v>#VALUE!</v>
      </c>
      <c r="U161" s="278" t="s">
        <v>562</v>
      </c>
      <c r="V161" s="15"/>
      <c r="W161" s="15"/>
      <c r="X161" s="15"/>
      <c r="Y161" s="15"/>
      <c r="Z161" s="16"/>
    </row>
    <row r="162" spans="1:26" ht="56.25" customHeight="1" x14ac:dyDescent="0.35">
      <c r="A162" s="8">
        <v>161</v>
      </c>
      <c r="B162" s="63" t="s">
        <v>197</v>
      </c>
      <c r="C162" s="147" t="s">
        <v>223</v>
      </c>
      <c r="D162" s="137">
        <v>45546</v>
      </c>
      <c r="E162" s="42">
        <v>21.029997049999999</v>
      </c>
      <c r="F162" s="42">
        <v>105.8597496</v>
      </c>
      <c r="G162" s="10">
        <v>9.0399999999999991</v>
      </c>
      <c r="H162" s="10">
        <v>0</v>
      </c>
      <c r="I162" s="180">
        <v>0</v>
      </c>
      <c r="J162" s="20">
        <v>0</v>
      </c>
      <c r="K162" s="8" t="s">
        <v>462</v>
      </c>
      <c r="L162" s="27">
        <v>100</v>
      </c>
      <c r="M162" s="27"/>
      <c r="N162" s="61" t="s">
        <v>475</v>
      </c>
      <c r="O162" s="43" t="s">
        <v>224</v>
      </c>
      <c r="Q162" s="269">
        <v>51.94</v>
      </c>
      <c r="R162" s="213">
        <v>185.07</v>
      </c>
      <c r="S162" s="277">
        <v>64.099999999999994</v>
      </c>
      <c r="T162" s="278" t="e">
        <f>Table_1[[#This Row],[Rain_fall (mm)]]/Table_1[[#This Row],[Factors]]</f>
        <v>#VALUE!</v>
      </c>
      <c r="U162" s="278" t="s">
        <v>562</v>
      </c>
      <c r="V162" s="15"/>
      <c r="W162" s="15"/>
      <c r="X162" s="15"/>
      <c r="Y162" s="15"/>
      <c r="Z162" s="16"/>
    </row>
    <row r="163" spans="1:26" ht="56.25" customHeight="1" x14ac:dyDescent="0.35">
      <c r="A163" s="10">
        <v>162</v>
      </c>
      <c r="B163" s="63" t="s">
        <v>197</v>
      </c>
      <c r="C163" s="147" t="s">
        <v>206</v>
      </c>
      <c r="D163" s="137">
        <v>45544</v>
      </c>
      <c r="E163" s="42">
        <v>21.032351155747701</v>
      </c>
      <c r="F163" s="42">
        <v>105.858999327983</v>
      </c>
      <c r="G163" s="10">
        <v>9.0399999999999991</v>
      </c>
      <c r="H163" s="10">
        <v>0</v>
      </c>
      <c r="I163" s="180">
        <v>0</v>
      </c>
      <c r="J163" s="20">
        <v>0</v>
      </c>
      <c r="K163" s="8" t="s">
        <v>462</v>
      </c>
      <c r="L163" s="27">
        <v>20</v>
      </c>
      <c r="M163" s="27"/>
      <c r="N163" s="55" t="s">
        <v>466</v>
      </c>
      <c r="O163" s="43" t="s">
        <v>225</v>
      </c>
      <c r="Q163" s="269">
        <v>34.090000000000003</v>
      </c>
      <c r="R163" s="213">
        <v>115.1</v>
      </c>
      <c r="S163" s="277">
        <v>42.3</v>
      </c>
      <c r="T163" s="278" t="e">
        <f>Table_1[[#This Row],[Rain_fall (mm)]]/Table_1[[#This Row],[Factors]]</f>
        <v>#VALUE!</v>
      </c>
      <c r="U163" s="278" t="s">
        <v>562</v>
      </c>
      <c r="V163" s="15"/>
      <c r="W163" s="15"/>
      <c r="X163" s="15"/>
      <c r="Y163" s="15"/>
      <c r="Z163" s="16"/>
    </row>
    <row r="164" spans="1:26" ht="56.25" customHeight="1" x14ac:dyDescent="0.35">
      <c r="A164" s="8">
        <v>163</v>
      </c>
      <c r="B164" s="63" t="s">
        <v>197</v>
      </c>
      <c r="C164" s="147" t="s">
        <v>78</v>
      </c>
      <c r="D164" s="137">
        <v>45451</v>
      </c>
      <c r="E164" s="66">
        <v>21.027722499999999</v>
      </c>
      <c r="F164" s="66">
        <v>105.8547909</v>
      </c>
      <c r="G164" s="8">
        <v>14.06</v>
      </c>
      <c r="H164" s="195">
        <v>0.83333333333333337</v>
      </c>
      <c r="I164" s="180">
        <v>0.91666666666666663</v>
      </c>
      <c r="J164" s="20">
        <v>2</v>
      </c>
      <c r="K164" s="8" t="s">
        <v>456</v>
      </c>
      <c r="L164" s="27">
        <v>15</v>
      </c>
      <c r="M164" s="27">
        <v>56</v>
      </c>
      <c r="N164" s="41" t="s">
        <v>466</v>
      </c>
      <c r="O164" s="43" t="s">
        <v>226</v>
      </c>
      <c r="Q164" s="269">
        <v>21.94</v>
      </c>
      <c r="R164" s="213">
        <v>141.18</v>
      </c>
      <c r="S164" s="277">
        <v>56.8</v>
      </c>
      <c r="T164" s="278" t="e">
        <f>Table_1[[#This Row],[Rain_fall (mm)]]/Table_1[[#This Row],[Factors]]</f>
        <v>#VALUE!</v>
      </c>
      <c r="U164" s="278" t="s">
        <v>562</v>
      </c>
      <c r="V164" s="15"/>
      <c r="W164" s="15"/>
      <c r="X164" s="15"/>
      <c r="Y164" s="15"/>
      <c r="Z164" s="16"/>
    </row>
    <row r="165" spans="1:26" ht="56.25" customHeight="1" x14ac:dyDescent="0.35">
      <c r="A165" s="8">
        <v>164</v>
      </c>
      <c r="B165" s="63" t="s">
        <v>197</v>
      </c>
      <c r="C165" s="155" t="s">
        <v>227</v>
      </c>
      <c r="D165" s="137">
        <v>45451</v>
      </c>
      <c r="E165" s="66">
        <v>21.0219667</v>
      </c>
      <c r="F165" s="66">
        <v>105.8056084</v>
      </c>
      <c r="G165" s="8">
        <v>9.24</v>
      </c>
      <c r="H165" s="195">
        <v>0.83333333333333337</v>
      </c>
      <c r="I165" s="180">
        <v>0.91666666666666663</v>
      </c>
      <c r="J165" s="20">
        <v>2</v>
      </c>
      <c r="K165" s="8" t="s">
        <v>456</v>
      </c>
      <c r="L165" s="27">
        <v>20</v>
      </c>
      <c r="M165" s="27">
        <v>56</v>
      </c>
      <c r="N165" s="55" t="s">
        <v>466</v>
      </c>
      <c r="O165" s="43" t="s">
        <v>226</v>
      </c>
      <c r="Q165" s="269">
        <v>21.94</v>
      </c>
      <c r="R165" s="213">
        <v>187.72</v>
      </c>
      <c r="S165" s="277">
        <v>48.1</v>
      </c>
      <c r="T165" s="278" t="e">
        <f>Table_1[[#This Row],[Rain_fall (mm)]]/Table_1[[#This Row],[Factors]]</f>
        <v>#VALUE!</v>
      </c>
      <c r="U165" s="278" t="s">
        <v>562</v>
      </c>
      <c r="V165" s="15"/>
      <c r="W165" s="15"/>
      <c r="X165" s="15"/>
      <c r="Y165" s="15"/>
      <c r="Z165" s="16"/>
    </row>
    <row r="166" spans="1:26" ht="56.25" customHeight="1" x14ac:dyDescent="0.35">
      <c r="A166" s="10">
        <v>165</v>
      </c>
      <c r="B166" s="63" t="s">
        <v>197</v>
      </c>
      <c r="C166" s="155" t="s">
        <v>228</v>
      </c>
      <c r="D166" s="137">
        <v>45517</v>
      </c>
      <c r="E166" s="80">
        <v>21.03472</v>
      </c>
      <c r="F166" s="25">
        <v>105.85306</v>
      </c>
      <c r="G166" s="10">
        <v>16.010000000000002</v>
      </c>
      <c r="H166" s="19">
        <v>0.72916666666666663</v>
      </c>
      <c r="I166" s="180">
        <v>0.83333333333333337</v>
      </c>
      <c r="J166" s="20">
        <v>2.5</v>
      </c>
      <c r="K166" s="8" t="s">
        <v>456</v>
      </c>
      <c r="L166" s="27">
        <v>50</v>
      </c>
      <c r="M166" s="27">
        <v>94</v>
      </c>
      <c r="N166" s="41" t="s">
        <v>466</v>
      </c>
      <c r="O166" s="43" t="s">
        <v>229</v>
      </c>
      <c r="Q166" s="269">
        <v>8.86</v>
      </c>
      <c r="R166" s="213">
        <v>352.14</v>
      </c>
      <c r="S166" s="277">
        <v>23.7</v>
      </c>
      <c r="T166" s="278" t="e">
        <f>Table_1[[#This Row],[Rain_fall (mm)]]/Table_1[[#This Row],[Factors]]</f>
        <v>#VALUE!</v>
      </c>
      <c r="U166" s="278" t="s">
        <v>562</v>
      </c>
      <c r="V166" s="15"/>
      <c r="W166" s="15"/>
      <c r="X166" s="15"/>
      <c r="Y166" s="15"/>
      <c r="Z166" s="16"/>
    </row>
    <row r="167" spans="1:26" ht="56.25" customHeight="1" x14ac:dyDescent="0.35">
      <c r="A167" s="8">
        <v>166</v>
      </c>
      <c r="B167" s="26" t="s">
        <v>230</v>
      </c>
      <c r="C167" s="147" t="s">
        <v>231</v>
      </c>
      <c r="D167" s="137">
        <v>45089</v>
      </c>
      <c r="E167" s="25">
        <v>20.995000000000001</v>
      </c>
      <c r="F167" s="25">
        <v>105.80800000000001</v>
      </c>
      <c r="G167" s="10">
        <v>8.57</v>
      </c>
      <c r="H167" s="195">
        <v>0.5</v>
      </c>
      <c r="I167" s="180">
        <v>0.54166666666666663</v>
      </c>
      <c r="J167" s="20">
        <v>1</v>
      </c>
      <c r="K167" s="8" t="s">
        <v>456</v>
      </c>
      <c r="L167" s="27">
        <v>30</v>
      </c>
      <c r="M167" s="27">
        <v>70</v>
      </c>
      <c r="N167" s="61" t="s">
        <v>469</v>
      </c>
      <c r="O167" s="81" t="s">
        <v>232</v>
      </c>
      <c r="Q167" s="269">
        <v>3.9</v>
      </c>
      <c r="R167" s="213">
        <v>534.91999999999996</v>
      </c>
      <c r="S167" s="277">
        <v>7.4</v>
      </c>
      <c r="T167" s="278" t="e">
        <f>Table_1[[#This Row],[Rain_fall (mm)]]/Table_1[[#This Row],[Factors]]</f>
        <v>#VALUE!</v>
      </c>
      <c r="U167" s="278" t="s">
        <v>562</v>
      </c>
      <c r="V167" s="15"/>
      <c r="W167" s="15"/>
      <c r="X167" s="15"/>
      <c r="Y167" s="15"/>
      <c r="Z167" s="16"/>
    </row>
    <row r="168" spans="1:26" ht="56.25" customHeight="1" x14ac:dyDescent="0.35">
      <c r="A168" s="8">
        <v>167</v>
      </c>
      <c r="B168" s="26" t="s">
        <v>230</v>
      </c>
      <c r="C168" s="147" t="s">
        <v>172</v>
      </c>
      <c r="D168" s="137">
        <v>45089</v>
      </c>
      <c r="E168" s="25">
        <v>20.984999999999999</v>
      </c>
      <c r="F168" s="25">
        <v>105.798</v>
      </c>
      <c r="G168" s="10">
        <v>8.36</v>
      </c>
      <c r="H168" s="195">
        <v>0.5</v>
      </c>
      <c r="I168" s="180">
        <v>0.54166666666666663</v>
      </c>
      <c r="J168" s="20">
        <v>1</v>
      </c>
      <c r="K168" s="8" t="s">
        <v>456</v>
      </c>
      <c r="L168" s="27">
        <v>40</v>
      </c>
      <c r="M168" s="27">
        <v>70</v>
      </c>
      <c r="N168" s="21" t="s">
        <v>472</v>
      </c>
      <c r="O168" s="81" t="s">
        <v>232</v>
      </c>
      <c r="Q168" s="269">
        <v>3.9</v>
      </c>
      <c r="R168" s="213">
        <v>399.98</v>
      </c>
      <c r="S168" s="277">
        <v>7.4</v>
      </c>
      <c r="T168" s="278" t="e">
        <f>Table_1[[#This Row],[Rain_fall (mm)]]/Table_1[[#This Row],[Factors]]</f>
        <v>#VALUE!</v>
      </c>
      <c r="U168" s="278" t="s">
        <v>562</v>
      </c>
      <c r="V168" s="15"/>
      <c r="W168" s="15"/>
      <c r="X168" s="15"/>
      <c r="Y168" s="15"/>
      <c r="Z168" s="16"/>
    </row>
    <row r="169" spans="1:26" ht="56.25" customHeight="1" x14ac:dyDescent="0.35">
      <c r="A169" s="10">
        <v>168</v>
      </c>
      <c r="B169" s="26" t="s">
        <v>230</v>
      </c>
      <c r="C169" s="147" t="s">
        <v>233</v>
      </c>
      <c r="D169" s="137">
        <v>45149</v>
      </c>
      <c r="E169" s="25">
        <v>21.004999999999999</v>
      </c>
      <c r="F169" s="25">
        <v>105.81</v>
      </c>
      <c r="G169" s="10">
        <v>7.9</v>
      </c>
      <c r="H169" s="19">
        <v>0.54166666666666663</v>
      </c>
      <c r="I169" s="180">
        <v>0.58333333333333337</v>
      </c>
      <c r="J169" s="20">
        <v>1</v>
      </c>
      <c r="K169" s="8" t="s">
        <v>456</v>
      </c>
      <c r="L169" s="27" t="s">
        <v>234</v>
      </c>
      <c r="M169" s="27">
        <v>60</v>
      </c>
      <c r="N169" s="21" t="s">
        <v>472</v>
      </c>
      <c r="O169" s="81" t="s">
        <v>235</v>
      </c>
      <c r="Q169" s="269">
        <v>14.33</v>
      </c>
      <c r="R169" s="213">
        <v>12.45</v>
      </c>
      <c r="S169" s="277">
        <v>18.899999999999999</v>
      </c>
      <c r="T169" s="278" t="e">
        <f>Table_1[[#This Row],[Rain_fall (mm)]]/Table_1[[#This Row],[Factors]]</f>
        <v>#VALUE!</v>
      </c>
      <c r="U169" s="278" t="s">
        <v>562</v>
      </c>
      <c r="V169" s="15"/>
      <c r="W169" s="15"/>
      <c r="X169" s="15"/>
      <c r="Y169" s="15"/>
      <c r="Z169" s="16"/>
    </row>
    <row r="170" spans="1:26" ht="56.25" customHeight="1" x14ac:dyDescent="0.35">
      <c r="A170" s="8">
        <v>169</v>
      </c>
      <c r="B170" s="26" t="s">
        <v>230</v>
      </c>
      <c r="C170" s="147" t="s">
        <v>236</v>
      </c>
      <c r="D170" s="137">
        <v>45197</v>
      </c>
      <c r="E170" s="25">
        <v>20.995000000000001</v>
      </c>
      <c r="F170" s="25">
        <v>105.80800000000001</v>
      </c>
      <c r="G170" s="10">
        <v>7.66</v>
      </c>
      <c r="H170" s="195">
        <v>0.25</v>
      </c>
      <c r="I170" s="180">
        <v>0.33333333333333331</v>
      </c>
      <c r="J170" s="20">
        <v>2</v>
      </c>
      <c r="K170" s="8" t="s">
        <v>456</v>
      </c>
      <c r="L170" s="27">
        <v>40</v>
      </c>
      <c r="M170" s="27">
        <v>150</v>
      </c>
      <c r="N170" s="61" t="s">
        <v>469</v>
      </c>
      <c r="O170" s="81" t="s">
        <v>237</v>
      </c>
      <c r="Q170" s="269">
        <v>68.59</v>
      </c>
      <c r="R170" s="213">
        <v>534.91999999999996</v>
      </c>
      <c r="S170" s="277">
        <v>33</v>
      </c>
      <c r="T170" s="278" t="e">
        <f>Table_1[[#This Row],[Rain_fall (mm)]]/Table_1[[#This Row],[Factors]]</f>
        <v>#VALUE!</v>
      </c>
      <c r="U170" s="278" t="s">
        <v>562</v>
      </c>
      <c r="V170" s="15"/>
      <c r="W170" s="15"/>
      <c r="X170" s="15"/>
      <c r="Y170" s="15"/>
      <c r="Z170" s="16"/>
    </row>
    <row r="171" spans="1:26" ht="56.25" customHeight="1" x14ac:dyDescent="0.35">
      <c r="A171" s="8">
        <v>170</v>
      </c>
      <c r="B171" s="26" t="s">
        <v>230</v>
      </c>
      <c r="C171" s="147" t="s">
        <v>238</v>
      </c>
      <c r="D171" s="137">
        <v>45197</v>
      </c>
      <c r="E171" s="25">
        <v>20.988</v>
      </c>
      <c r="F171" s="25">
        <v>105.818</v>
      </c>
      <c r="G171" s="10">
        <v>9.4600000000000009</v>
      </c>
      <c r="H171" s="19">
        <v>0.39583333333333331</v>
      </c>
      <c r="I171" s="180">
        <v>0.52083333333333337</v>
      </c>
      <c r="J171" s="20">
        <v>3</v>
      </c>
      <c r="K171" s="8" t="s">
        <v>456</v>
      </c>
      <c r="L171" s="27">
        <v>35</v>
      </c>
      <c r="M171" s="27">
        <v>40</v>
      </c>
      <c r="N171" s="41" t="s">
        <v>466</v>
      </c>
      <c r="O171" s="43" t="s">
        <v>239</v>
      </c>
      <c r="Q171" s="269">
        <v>68.59</v>
      </c>
      <c r="R171" s="213">
        <v>0</v>
      </c>
      <c r="S171" s="277">
        <v>33</v>
      </c>
      <c r="T171" s="278" t="e">
        <f>Table_1[[#This Row],[Rain_fall (mm)]]/Table_1[[#This Row],[Factors]]</f>
        <v>#VALUE!</v>
      </c>
      <c r="U171" s="278" t="s">
        <v>562</v>
      </c>
      <c r="V171" s="15"/>
      <c r="W171" s="15"/>
      <c r="X171" s="15"/>
      <c r="Y171" s="15"/>
      <c r="Z171" s="16"/>
    </row>
    <row r="172" spans="1:26" ht="56.25" customHeight="1" x14ac:dyDescent="0.35">
      <c r="A172" s="10">
        <v>171</v>
      </c>
      <c r="B172" s="26" t="s">
        <v>230</v>
      </c>
      <c r="C172" s="147" t="s">
        <v>240</v>
      </c>
      <c r="D172" s="137">
        <v>45197</v>
      </c>
      <c r="E172" s="25">
        <v>20.9990905576263</v>
      </c>
      <c r="F172" s="25">
        <v>105.821847725401</v>
      </c>
      <c r="G172" s="10">
        <v>12.99</v>
      </c>
      <c r="H172" s="195">
        <v>0.25</v>
      </c>
      <c r="I172" s="180">
        <v>0.375</v>
      </c>
      <c r="J172" s="20">
        <v>3</v>
      </c>
      <c r="K172" s="8" t="s">
        <v>456</v>
      </c>
      <c r="L172" s="27">
        <v>30</v>
      </c>
      <c r="M172" s="27">
        <v>40</v>
      </c>
      <c r="N172" s="55" t="s">
        <v>466</v>
      </c>
      <c r="O172" s="43" t="s">
        <v>241</v>
      </c>
      <c r="Q172" s="269">
        <v>68.59</v>
      </c>
      <c r="R172" s="213">
        <v>362.59</v>
      </c>
      <c r="S172" s="277">
        <v>33</v>
      </c>
      <c r="T172" s="278" t="e">
        <f>Table_1[[#This Row],[Rain_fall (mm)]]/Table_1[[#This Row],[Factors]]</f>
        <v>#VALUE!</v>
      </c>
      <c r="U172" s="278" t="s">
        <v>562</v>
      </c>
      <c r="V172" s="15"/>
      <c r="W172" s="15"/>
      <c r="X172" s="15"/>
      <c r="Y172" s="15"/>
      <c r="Z172" s="16"/>
    </row>
    <row r="173" spans="1:26" ht="56.25" customHeight="1" x14ac:dyDescent="0.35">
      <c r="A173" s="8">
        <v>172</v>
      </c>
      <c r="B173" s="26" t="s">
        <v>230</v>
      </c>
      <c r="C173" s="147" t="s">
        <v>236</v>
      </c>
      <c r="D173" s="137">
        <v>45424</v>
      </c>
      <c r="E173" s="25">
        <v>20.995000000000001</v>
      </c>
      <c r="F173" s="25">
        <v>105.80800000000001</v>
      </c>
      <c r="G173" s="10">
        <v>7.66</v>
      </c>
      <c r="H173" s="19">
        <v>0.75</v>
      </c>
      <c r="I173" s="180">
        <v>0.84722222222222221</v>
      </c>
      <c r="J173" s="20">
        <v>2.33</v>
      </c>
      <c r="K173" s="8" t="s">
        <v>456</v>
      </c>
      <c r="L173" s="27">
        <v>40</v>
      </c>
      <c r="M173" s="27">
        <v>90</v>
      </c>
      <c r="N173" s="61" t="s">
        <v>469</v>
      </c>
      <c r="O173" s="81" t="s">
        <v>38</v>
      </c>
      <c r="Q173" s="269">
        <v>8.17</v>
      </c>
      <c r="R173" s="213">
        <v>534.91999999999996</v>
      </c>
      <c r="S173" s="277">
        <v>38.6</v>
      </c>
      <c r="T173" s="278" t="e">
        <f>Table_1[[#This Row],[Rain_fall (mm)]]/Table_1[[#This Row],[Factors]]</f>
        <v>#VALUE!</v>
      </c>
      <c r="U173" s="278" t="s">
        <v>562</v>
      </c>
      <c r="V173" s="15"/>
      <c r="W173" s="15"/>
      <c r="X173" s="15"/>
      <c r="Y173" s="15"/>
      <c r="Z173" s="16"/>
    </row>
    <row r="174" spans="1:26" ht="56.25" customHeight="1" x14ac:dyDescent="0.35">
      <c r="A174" s="8">
        <v>173</v>
      </c>
      <c r="B174" s="26" t="s">
        <v>230</v>
      </c>
      <c r="C174" s="147" t="s">
        <v>172</v>
      </c>
      <c r="D174" s="137">
        <v>45424</v>
      </c>
      <c r="E174" s="25">
        <v>20.984999999999999</v>
      </c>
      <c r="F174" s="25">
        <v>105.798</v>
      </c>
      <c r="G174" s="10">
        <v>8.36</v>
      </c>
      <c r="H174" s="10" t="s">
        <v>242</v>
      </c>
      <c r="I174" s="180">
        <v>0.91666666666666663</v>
      </c>
      <c r="J174" s="20">
        <v>4</v>
      </c>
      <c r="K174" s="8" t="s">
        <v>456</v>
      </c>
      <c r="L174" s="27">
        <v>50</v>
      </c>
      <c r="M174" s="27">
        <v>90</v>
      </c>
      <c r="N174" s="21" t="s">
        <v>472</v>
      </c>
      <c r="O174" s="81" t="s">
        <v>243</v>
      </c>
      <c r="Q174" s="269">
        <v>8.17</v>
      </c>
      <c r="R174" s="213">
        <v>399.98</v>
      </c>
      <c r="S174" s="277">
        <v>38.6</v>
      </c>
      <c r="T174" s="278" t="e">
        <f>Table_1[[#This Row],[Rain_fall (mm)]]/Table_1[[#This Row],[Factors]]</f>
        <v>#VALUE!</v>
      </c>
      <c r="U174" s="278" t="s">
        <v>562</v>
      </c>
      <c r="V174" s="15"/>
      <c r="W174" s="15"/>
      <c r="X174" s="15"/>
      <c r="Y174" s="15"/>
      <c r="Z174" s="16"/>
    </row>
    <row r="175" spans="1:26" ht="56.25" customHeight="1" x14ac:dyDescent="0.35">
      <c r="A175" s="10">
        <v>174</v>
      </c>
      <c r="B175" s="26" t="s">
        <v>230</v>
      </c>
      <c r="C175" s="147" t="s">
        <v>172</v>
      </c>
      <c r="D175" s="137">
        <v>45497</v>
      </c>
      <c r="E175" s="25">
        <v>20.984999999999999</v>
      </c>
      <c r="F175" s="25">
        <v>105.798</v>
      </c>
      <c r="G175" s="10">
        <v>8.36</v>
      </c>
      <c r="H175" s="10" t="s">
        <v>244</v>
      </c>
      <c r="I175" s="180">
        <v>0</v>
      </c>
      <c r="J175" s="20">
        <v>0</v>
      </c>
      <c r="K175" s="8" t="s">
        <v>456</v>
      </c>
      <c r="L175" s="27">
        <v>50</v>
      </c>
      <c r="M175" s="27">
        <v>150</v>
      </c>
      <c r="N175" s="61" t="s">
        <v>469</v>
      </c>
      <c r="O175" s="81" t="s">
        <v>245</v>
      </c>
      <c r="Q175" s="269">
        <v>16.510000000000002</v>
      </c>
      <c r="R175" s="213">
        <v>399.98</v>
      </c>
      <c r="S175" s="277">
        <v>60.6</v>
      </c>
      <c r="T175" s="278" t="e">
        <f>Table_1[[#This Row],[Rain_fall (mm)]]/Table_1[[#This Row],[Factors]]</f>
        <v>#VALUE!</v>
      </c>
      <c r="U175" s="278" t="s">
        <v>562</v>
      </c>
      <c r="V175" s="15"/>
      <c r="W175" s="15"/>
      <c r="X175" s="15"/>
      <c r="Y175" s="15"/>
      <c r="Z175" s="16"/>
    </row>
    <row r="176" spans="1:26" ht="56.25" customHeight="1" x14ac:dyDescent="0.35">
      <c r="A176" s="8">
        <v>175</v>
      </c>
      <c r="B176" s="26" t="s">
        <v>230</v>
      </c>
      <c r="C176" s="147" t="s">
        <v>172</v>
      </c>
      <c r="D176" s="137">
        <v>45497</v>
      </c>
      <c r="E176" s="25">
        <v>20.984999999999999</v>
      </c>
      <c r="F176" s="25">
        <v>105.798</v>
      </c>
      <c r="G176" s="10">
        <v>8.36</v>
      </c>
      <c r="H176" s="10" t="s">
        <v>244</v>
      </c>
      <c r="I176" s="180">
        <v>0</v>
      </c>
      <c r="J176" s="20">
        <v>0</v>
      </c>
      <c r="K176" s="8" t="s">
        <v>456</v>
      </c>
      <c r="L176" s="27">
        <v>40</v>
      </c>
      <c r="M176" s="27">
        <v>150</v>
      </c>
      <c r="N176" s="41" t="s">
        <v>466</v>
      </c>
      <c r="O176" s="53" t="s">
        <v>246</v>
      </c>
      <c r="Q176" s="269">
        <v>16.510000000000002</v>
      </c>
      <c r="R176" s="213">
        <v>399.98</v>
      </c>
      <c r="S176" s="277">
        <v>60.6</v>
      </c>
      <c r="T176" s="278" t="e">
        <f>Table_1[[#This Row],[Rain_fall (mm)]]/Table_1[[#This Row],[Factors]]</f>
        <v>#VALUE!</v>
      </c>
      <c r="U176" s="278" t="s">
        <v>562</v>
      </c>
      <c r="V176" s="15"/>
      <c r="W176" s="15"/>
      <c r="X176" s="15"/>
      <c r="Y176" s="15"/>
      <c r="Z176" s="16"/>
    </row>
    <row r="177" spans="1:26" ht="56.25" customHeight="1" x14ac:dyDescent="0.35">
      <c r="A177" s="8">
        <v>176</v>
      </c>
      <c r="B177" s="26" t="s">
        <v>230</v>
      </c>
      <c r="C177" s="147" t="s">
        <v>238</v>
      </c>
      <c r="D177" s="137">
        <v>45527</v>
      </c>
      <c r="E177" s="25">
        <v>20.988</v>
      </c>
      <c r="F177" s="25">
        <v>105.818</v>
      </c>
      <c r="G177" s="10">
        <v>9.4600000000000009</v>
      </c>
      <c r="H177" s="10" t="s">
        <v>247</v>
      </c>
      <c r="I177" s="180">
        <v>0.95833333333333337</v>
      </c>
      <c r="J177" s="20">
        <v>1</v>
      </c>
      <c r="K177" s="8" t="s">
        <v>456</v>
      </c>
      <c r="L177" s="27">
        <v>50</v>
      </c>
      <c r="M177" s="27">
        <v>100</v>
      </c>
      <c r="N177" s="21" t="s">
        <v>472</v>
      </c>
      <c r="O177" s="82" t="s">
        <v>248</v>
      </c>
      <c r="Q177" s="269">
        <v>66.959999999999994</v>
      </c>
      <c r="R177" s="213">
        <v>0</v>
      </c>
      <c r="S177" s="277">
        <v>34.299999999999997</v>
      </c>
      <c r="T177" s="278" t="e">
        <f>Table_1[[#This Row],[Rain_fall (mm)]]/Table_1[[#This Row],[Factors]]</f>
        <v>#VALUE!</v>
      </c>
      <c r="U177" s="278" t="s">
        <v>562</v>
      </c>
      <c r="V177" s="15"/>
      <c r="W177" s="15"/>
      <c r="X177" s="15"/>
      <c r="Y177" s="15"/>
      <c r="Z177" s="16"/>
    </row>
    <row r="178" spans="1:26" ht="56.25" customHeight="1" x14ac:dyDescent="0.35">
      <c r="A178" s="10">
        <v>177</v>
      </c>
      <c r="B178" s="26" t="s">
        <v>230</v>
      </c>
      <c r="C178" s="147" t="s">
        <v>172</v>
      </c>
      <c r="D178" s="137">
        <v>45542</v>
      </c>
      <c r="E178" s="25">
        <v>20.984999999999999</v>
      </c>
      <c r="F178" s="25">
        <v>105.798</v>
      </c>
      <c r="G178" s="10">
        <v>8.36</v>
      </c>
      <c r="H178" s="195">
        <v>0.66666666666666663</v>
      </c>
      <c r="I178" s="180">
        <v>0.79166666666666663</v>
      </c>
      <c r="J178" s="20">
        <v>3</v>
      </c>
      <c r="K178" s="8" t="s">
        <v>456</v>
      </c>
      <c r="L178" s="27">
        <v>50</v>
      </c>
      <c r="M178" s="27">
        <v>250</v>
      </c>
      <c r="N178" s="41" t="s">
        <v>466</v>
      </c>
      <c r="O178" s="83" t="s">
        <v>249</v>
      </c>
      <c r="Q178" s="269">
        <v>118.6</v>
      </c>
      <c r="R178" s="213">
        <v>399.98</v>
      </c>
      <c r="S178" s="277">
        <v>135.4</v>
      </c>
      <c r="T178" s="278" t="e">
        <f>Table_1[[#This Row],[Rain_fall (mm)]]/Table_1[[#This Row],[Factors]]</f>
        <v>#VALUE!</v>
      </c>
      <c r="U178" s="278" t="s">
        <v>562</v>
      </c>
      <c r="V178" s="15"/>
      <c r="W178" s="15"/>
      <c r="X178" s="15"/>
      <c r="Y178" s="15"/>
      <c r="Z178" s="16"/>
    </row>
    <row r="179" spans="1:26" ht="56.25" customHeight="1" x14ac:dyDescent="0.35">
      <c r="A179" s="8">
        <v>178</v>
      </c>
      <c r="B179" s="26" t="s">
        <v>230</v>
      </c>
      <c r="C179" s="147" t="s">
        <v>236</v>
      </c>
      <c r="D179" s="137">
        <v>45542</v>
      </c>
      <c r="E179" s="25">
        <v>20.995000000000001</v>
      </c>
      <c r="F179" s="25">
        <v>105.80800000000001</v>
      </c>
      <c r="G179" s="10">
        <v>7.66</v>
      </c>
      <c r="H179" s="195">
        <v>0.79166666666666663</v>
      </c>
      <c r="I179" s="180">
        <v>4.1666666666666664E-2</v>
      </c>
      <c r="J179" s="20">
        <v>6</v>
      </c>
      <c r="K179" s="8" t="s">
        <v>456</v>
      </c>
      <c r="L179" s="27">
        <v>40</v>
      </c>
      <c r="M179" s="27">
        <v>250</v>
      </c>
      <c r="N179" s="21" t="s">
        <v>472</v>
      </c>
      <c r="O179" s="83" t="s">
        <v>250</v>
      </c>
      <c r="Q179" s="269">
        <v>118.6</v>
      </c>
      <c r="R179" s="213">
        <v>534.91999999999996</v>
      </c>
      <c r="S179" s="277">
        <v>135.4</v>
      </c>
      <c r="T179" s="278" t="e">
        <f>Table_1[[#This Row],[Rain_fall (mm)]]/Table_1[[#This Row],[Factors]]</f>
        <v>#VALUE!</v>
      </c>
      <c r="U179" s="278" t="s">
        <v>562</v>
      </c>
      <c r="V179" s="15"/>
      <c r="W179" s="15"/>
      <c r="X179" s="15"/>
      <c r="Y179" s="15"/>
      <c r="Z179" s="16"/>
    </row>
    <row r="180" spans="1:26" ht="56.25" customHeight="1" x14ac:dyDescent="0.35">
      <c r="A180" s="8">
        <v>179</v>
      </c>
      <c r="B180" s="62" t="s">
        <v>230</v>
      </c>
      <c r="C180" s="161" t="s">
        <v>236</v>
      </c>
      <c r="D180" s="137">
        <v>45937</v>
      </c>
      <c r="E180" s="29">
        <v>20.995000000000001</v>
      </c>
      <c r="F180" s="29">
        <v>105.80800000000001</v>
      </c>
      <c r="G180" s="10">
        <v>7.66</v>
      </c>
      <c r="H180" s="19">
        <v>1</v>
      </c>
      <c r="I180" s="180">
        <v>0.25</v>
      </c>
      <c r="J180" s="20">
        <v>6</v>
      </c>
      <c r="K180" s="8" t="s">
        <v>456</v>
      </c>
      <c r="L180" s="64" t="s">
        <v>251</v>
      </c>
      <c r="M180" s="64">
        <v>215</v>
      </c>
      <c r="N180" s="61" t="s">
        <v>475</v>
      </c>
      <c r="O180" s="196" t="s">
        <v>252</v>
      </c>
      <c r="Q180" s="269">
        <v>157.38999999999999</v>
      </c>
      <c r="R180" s="213">
        <v>534.91999999999996</v>
      </c>
      <c r="S180" s="277">
        <v>119.4</v>
      </c>
      <c r="T180" s="278" t="e">
        <f>Table_1[[#This Row],[Rain_fall (mm)]]/Table_1[[#This Row],[Factors]]</f>
        <v>#VALUE!</v>
      </c>
      <c r="U180" s="278" t="s">
        <v>562</v>
      </c>
      <c r="V180" s="15"/>
      <c r="W180" s="15"/>
      <c r="X180" s="15"/>
      <c r="Y180" s="15"/>
      <c r="Z180" s="16"/>
    </row>
    <row r="181" spans="1:26" ht="56.25" customHeight="1" x14ac:dyDescent="0.35">
      <c r="A181" s="10">
        <v>180</v>
      </c>
      <c r="B181" s="57" t="s">
        <v>230</v>
      </c>
      <c r="C181" s="162" t="s">
        <v>253</v>
      </c>
      <c r="D181" s="137">
        <v>45937</v>
      </c>
      <c r="E181" s="58">
        <v>20.998133493252901</v>
      </c>
      <c r="F181" s="58">
        <v>105.803833146294</v>
      </c>
      <c r="G181" s="10">
        <v>8.36</v>
      </c>
      <c r="H181" s="19">
        <v>1</v>
      </c>
      <c r="I181" s="180">
        <v>0.25</v>
      </c>
      <c r="J181" s="20">
        <v>6</v>
      </c>
      <c r="K181" s="8" t="s">
        <v>456</v>
      </c>
      <c r="L181" s="59">
        <v>60</v>
      </c>
      <c r="M181" s="59">
        <v>215</v>
      </c>
      <c r="N181" s="61" t="s">
        <v>475</v>
      </c>
      <c r="O181" s="84" t="s">
        <v>252</v>
      </c>
      <c r="Q181" s="269">
        <v>157.38999999999999</v>
      </c>
      <c r="R181" s="213">
        <v>388.49</v>
      </c>
      <c r="S181" s="277">
        <v>119.4</v>
      </c>
      <c r="T181" s="278" t="e">
        <f>Table_1[[#This Row],[Rain_fall (mm)]]/Table_1[[#This Row],[Factors]]</f>
        <v>#VALUE!</v>
      </c>
      <c r="U181" s="278" t="s">
        <v>562</v>
      </c>
      <c r="V181" s="15"/>
      <c r="W181" s="15"/>
      <c r="X181" s="15"/>
      <c r="Y181" s="15"/>
      <c r="Z181" s="16"/>
    </row>
    <row r="182" spans="1:26" ht="56.25" customHeight="1" x14ac:dyDescent="0.35">
      <c r="A182" s="8">
        <v>181</v>
      </c>
      <c r="B182" s="62" t="s">
        <v>230</v>
      </c>
      <c r="C182" s="161" t="s">
        <v>254</v>
      </c>
      <c r="D182" s="137">
        <v>45937</v>
      </c>
      <c r="E182" s="29">
        <v>21.001999999999999</v>
      </c>
      <c r="F182" s="29">
        <v>105.80800000000001</v>
      </c>
      <c r="G182" s="10">
        <v>9.9700000000000006</v>
      </c>
      <c r="H182" s="20">
        <v>0</v>
      </c>
      <c r="I182" s="20">
        <v>0</v>
      </c>
      <c r="J182" s="20">
        <v>0</v>
      </c>
      <c r="K182" s="8" t="s">
        <v>456</v>
      </c>
      <c r="L182" s="64">
        <v>50</v>
      </c>
      <c r="M182" s="64">
        <v>215</v>
      </c>
      <c r="N182" s="55" t="s">
        <v>466</v>
      </c>
      <c r="O182" s="196" t="s">
        <v>255</v>
      </c>
      <c r="Q182" s="269">
        <v>157.38999999999999</v>
      </c>
      <c r="R182" s="213">
        <v>333.97</v>
      </c>
      <c r="S182" s="277">
        <v>119.4</v>
      </c>
      <c r="T182" s="278" t="e">
        <f>Table_1[[#This Row],[Rain_fall (mm)]]/Table_1[[#This Row],[Factors]]</f>
        <v>#VALUE!</v>
      </c>
      <c r="U182" s="278" t="s">
        <v>562</v>
      </c>
      <c r="V182" s="15"/>
      <c r="W182" s="15"/>
      <c r="X182" s="15"/>
      <c r="Y182" s="15"/>
      <c r="Z182" s="16"/>
    </row>
    <row r="183" spans="1:26" ht="56.25" customHeight="1" x14ac:dyDescent="0.35">
      <c r="A183" s="8">
        <v>182</v>
      </c>
      <c r="B183" s="26" t="s">
        <v>230</v>
      </c>
      <c r="C183" s="147" t="s">
        <v>172</v>
      </c>
      <c r="D183" s="137">
        <v>45937</v>
      </c>
      <c r="E183" s="25">
        <v>20.984999999999999</v>
      </c>
      <c r="F183" s="25">
        <v>105.798</v>
      </c>
      <c r="G183" s="10">
        <v>7.66</v>
      </c>
      <c r="H183" s="180">
        <v>1</v>
      </c>
      <c r="I183" s="180">
        <v>0.25</v>
      </c>
      <c r="J183" s="20">
        <v>6</v>
      </c>
      <c r="K183" s="8" t="s">
        <v>456</v>
      </c>
      <c r="L183" s="27">
        <v>60</v>
      </c>
      <c r="M183" s="27">
        <v>215</v>
      </c>
      <c r="N183" s="21" t="s">
        <v>472</v>
      </c>
      <c r="O183" s="193" t="s">
        <v>256</v>
      </c>
      <c r="Q183" s="269">
        <v>157.38999999999999</v>
      </c>
      <c r="R183" s="213">
        <v>399.98</v>
      </c>
      <c r="S183" s="277">
        <v>119.4</v>
      </c>
      <c r="T183" s="278" t="e">
        <f>Table_1[[#This Row],[Rain_fall (mm)]]/Table_1[[#This Row],[Factors]]</f>
        <v>#VALUE!</v>
      </c>
      <c r="U183" s="278" t="s">
        <v>562</v>
      </c>
      <c r="V183" s="15"/>
      <c r="W183" s="15"/>
      <c r="X183" s="15"/>
      <c r="Y183" s="15"/>
      <c r="Z183" s="16"/>
    </row>
    <row r="184" spans="1:26" ht="56.25" customHeight="1" x14ac:dyDescent="0.35">
      <c r="A184" s="10">
        <v>183</v>
      </c>
      <c r="B184" s="26" t="s">
        <v>230</v>
      </c>
      <c r="C184" s="147" t="s">
        <v>257</v>
      </c>
      <c r="D184" s="137">
        <v>45937</v>
      </c>
      <c r="E184" s="25">
        <v>20.995999999999999</v>
      </c>
      <c r="F184" s="25">
        <v>105.79600000000001</v>
      </c>
      <c r="G184" s="10">
        <v>8.36</v>
      </c>
      <c r="H184" s="180">
        <v>0.20833333333333334</v>
      </c>
      <c r="I184" s="180">
        <v>0.41666666666666669</v>
      </c>
      <c r="J184" s="20">
        <v>5</v>
      </c>
      <c r="K184" s="8" t="s">
        <v>456</v>
      </c>
      <c r="L184" s="27">
        <v>50</v>
      </c>
      <c r="M184" s="27">
        <v>215</v>
      </c>
      <c r="N184" s="55" t="s">
        <v>466</v>
      </c>
      <c r="O184" s="83" t="s">
        <v>258</v>
      </c>
      <c r="Q184" s="269">
        <v>157.38999999999999</v>
      </c>
      <c r="R184" s="213">
        <v>429.43</v>
      </c>
      <c r="S184" s="277">
        <v>119.4</v>
      </c>
      <c r="T184" s="278" t="e">
        <f>Table_1[[#This Row],[Rain_fall (mm)]]/Table_1[[#This Row],[Factors]]</f>
        <v>#VALUE!</v>
      </c>
      <c r="U184" s="278" t="s">
        <v>562</v>
      </c>
      <c r="V184" s="15"/>
      <c r="W184" s="15"/>
      <c r="X184" s="15"/>
      <c r="Y184" s="15"/>
      <c r="Z184" s="16"/>
    </row>
    <row r="185" spans="1:26" ht="56.25" customHeight="1" x14ac:dyDescent="0.35">
      <c r="A185" s="8">
        <v>184</v>
      </c>
      <c r="B185" s="26" t="s">
        <v>230</v>
      </c>
      <c r="C185" s="147" t="s">
        <v>236</v>
      </c>
      <c r="D185" s="137">
        <v>45551</v>
      </c>
      <c r="E185" s="25">
        <v>20.995000000000001</v>
      </c>
      <c r="F185" s="25">
        <v>105.80800000000001</v>
      </c>
      <c r="G185" s="10">
        <v>7.66</v>
      </c>
      <c r="H185" s="180">
        <v>1</v>
      </c>
      <c r="I185" s="180">
        <v>0.25</v>
      </c>
      <c r="J185" s="20">
        <v>6</v>
      </c>
      <c r="K185" s="8" t="s">
        <v>456</v>
      </c>
      <c r="L185" s="27" t="s">
        <v>259</v>
      </c>
      <c r="M185" s="27">
        <v>154</v>
      </c>
      <c r="N185" s="41" t="s">
        <v>466</v>
      </c>
      <c r="O185" s="43" t="s">
        <v>260</v>
      </c>
      <c r="Q185" s="269">
        <v>5.46</v>
      </c>
      <c r="R185" s="213">
        <v>534.91999999999996</v>
      </c>
      <c r="S185" s="277">
        <v>25</v>
      </c>
      <c r="T185" s="278" t="e">
        <f>Table_1[[#This Row],[Rain_fall (mm)]]/Table_1[[#This Row],[Factors]]</f>
        <v>#VALUE!</v>
      </c>
      <c r="U185" s="278" t="s">
        <v>562</v>
      </c>
      <c r="V185" s="15"/>
      <c r="W185" s="15"/>
      <c r="X185" s="15"/>
      <c r="Y185" s="15"/>
      <c r="Z185" s="16"/>
    </row>
    <row r="186" spans="1:26" ht="56.25" customHeight="1" x14ac:dyDescent="0.35">
      <c r="A186" s="8">
        <v>185</v>
      </c>
      <c r="B186" s="26" t="s">
        <v>230</v>
      </c>
      <c r="C186" s="147" t="s">
        <v>240</v>
      </c>
      <c r="D186" s="137">
        <v>45551</v>
      </c>
      <c r="E186" s="25">
        <v>20.9990905576263</v>
      </c>
      <c r="F186" s="42">
        <v>105.821847725401</v>
      </c>
      <c r="G186" s="10">
        <v>12.99</v>
      </c>
      <c r="H186" s="180">
        <v>1</v>
      </c>
      <c r="I186" s="180">
        <v>0.25</v>
      </c>
      <c r="J186" s="20">
        <v>6</v>
      </c>
      <c r="K186" s="8" t="s">
        <v>456</v>
      </c>
      <c r="L186" s="27" t="s">
        <v>234</v>
      </c>
      <c r="M186" s="27">
        <v>154</v>
      </c>
      <c r="N186" s="55" t="s">
        <v>466</v>
      </c>
      <c r="O186" s="43" t="s">
        <v>260</v>
      </c>
      <c r="Q186" s="269">
        <v>5.46</v>
      </c>
      <c r="R186" s="213">
        <v>362.59</v>
      </c>
      <c r="S186" s="277">
        <v>25</v>
      </c>
      <c r="T186" s="278" t="e">
        <f>Table_1[[#This Row],[Rain_fall (mm)]]/Table_1[[#This Row],[Factors]]</f>
        <v>#VALUE!</v>
      </c>
      <c r="U186" s="278" t="s">
        <v>562</v>
      </c>
      <c r="V186" s="15"/>
      <c r="W186" s="15"/>
      <c r="X186" s="15"/>
      <c r="Y186" s="15"/>
      <c r="Z186" s="16"/>
    </row>
    <row r="187" spans="1:26" ht="56.25" customHeight="1" x14ac:dyDescent="0.35">
      <c r="A187" s="10">
        <v>186</v>
      </c>
      <c r="B187" s="26" t="s">
        <v>261</v>
      </c>
      <c r="C187" s="147" t="s">
        <v>262</v>
      </c>
      <c r="D187" s="137">
        <v>45527</v>
      </c>
      <c r="E187" s="42">
        <v>20.997759559226299</v>
      </c>
      <c r="F187" s="42">
        <v>105.804393751454</v>
      </c>
      <c r="G187" s="10">
        <v>7.67</v>
      </c>
      <c r="H187" s="180" t="s">
        <v>247</v>
      </c>
      <c r="I187" s="180">
        <v>0.97916666666666663</v>
      </c>
      <c r="J187" s="20">
        <v>1.5</v>
      </c>
      <c r="K187" s="8" t="s">
        <v>456</v>
      </c>
      <c r="L187" s="27">
        <v>10</v>
      </c>
      <c r="M187" s="27"/>
      <c r="N187" s="41" t="s">
        <v>466</v>
      </c>
      <c r="O187" s="43" t="s">
        <v>263</v>
      </c>
      <c r="Q187" s="269">
        <v>66.959999999999994</v>
      </c>
      <c r="R187" s="213">
        <v>371.41</v>
      </c>
      <c r="S187" s="277">
        <v>34.299999999999997</v>
      </c>
      <c r="T187" s="278" t="e">
        <f>Table_1[[#This Row],[Rain_fall (mm)]]/Table_1[[#This Row],[Factors]]</f>
        <v>#VALUE!</v>
      </c>
      <c r="U187" s="278" t="s">
        <v>562</v>
      </c>
      <c r="V187" s="15"/>
      <c r="W187" s="15"/>
      <c r="X187" s="15"/>
      <c r="Y187" s="15"/>
      <c r="Z187" s="16"/>
    </row>
    <row r="188" spans="1:26" ht="56.25" customHeight="1" x14ac:dyDescent="0.35">
      <c r="A188" s="8">
        <v>187</v>
      </c>
      <c r="B188" s="26" t="s">
        <v>261</v>
      </c>
      <c r="C188" s="147" t="s">
        <v>253</v>
      </c>
      <c r="D188" s="137">
        <v>45527</v>
      </c>
      <c r="E188" s="58">
        <v>20.998193591379199</v>
      </c>
      <c r="F188" s="58">
        <v>105.803725857937</v>
      </c>
      <c r="G188" s="10">
        <v>8.36</v>
      </c>
      <c r="H188" s="180" t="s">
        <v>247</v>
      </c>
      <c r="I188" s="180">
        <v>0.97916666666666663</v>
      </c>
      <c r="J188" s="20">
        <v>1.5</v>
      </c>
      <c r="K188" s="8" t="s">
        <v>456</v>
      </c>
      <c r="L188" s="27">
        <v>25</v>
      </c>
      <c r="M188" s="27"/>
      <c r="N188" s="55" t="s">
        <v>466</v>
      </c>
      <c r="O188" s="43" t="s">
        <v>263</v>
      </c>
      <c r="Q188" s="269">
        <v>66.959999999999994</v>
      </c>
      <c r="R188" s="213">
        <v>391.89</v>
      </c>
      <c r="S188" s="277">
        <v>34.299999999999997</v>
      </c>
      <c r="T188" s="278" t="e">
        <f>Table_1[[#This Row],[Rain_fall (mm)]]/Table_1[[#This Row],[Factors]]</f>
        <v>#VALUE!</v>
      </c>
      <c r="U188" s="278" t="s">
        <v>562</v>
      </c>
      <c r="V188" s="15"/>
      <c r="W188" s="15"/>
      <c r="X188" s="15"/>
      <c r="Y188" s="15"/>
      <c r="Z188" s="16"/>
    </row>
    <row r="189" spans="1:26" ht="56.25" customHeight="1" x14ac:dyDescent="0.35">
      <c r="A189" s="8">
        <v>188</v>
      </c>
      <c r="B189" s="26" t="s">
        <v>261</v>
      </c>
      <c r="C189" s="147" t="s">
        <v>236</v>
      </c>
      <c r="D189" s="137">
        <v>45527</v>
      </c>
      <c r="E189" s="29">
        <v>20.995000000000001</v>
      </c>
      <c r="F189" s="25">
        <v>105.80800000000001</v>
      </c>
      <c r="G189" s="10">
        <v>7.66</v>
      </c>
      <c r="H189" s="180" t="s">
        <v>247</v>
      </c>
      <c r="I189" s="180">
        <v>0.97916666666666663</v>
      </c>
      <c r="J189" s="20">
        <v>1.5</v>
      </c>
      <c r="K189" s="8" t="s">
        <v>456</v>
      </c>
      <c r="L189" s="27">
        <v>50</v>
      </c>
      <c r="M189" s="27"/>
      <c r="N189" s="61" t="s">
        <v>469</v>
      </c>
      <c r="O189" s="43" t="s">
        <v>263</v>
      </c>
      <c r="Q189" s="269">
        <v>66.959999999999994</v>
      </c>
      <c r="R189" s="213">
        <v>534.91999999999996</v>
      </c>
      <c r="S189" s="277">
        <v>34.299999999999997</v>
      </c>
      <c r="T189" s="278" t="e">
        <f>Table_1[[#This Row],[Rain_fall (mm)]]/Table_1[[#This Row],[Factors]]</f>
        <v>#VALUE!</v>
      </c>
      <c r="U189" s="278" t="s">
        <v>562</v>
      </c>
      <c r="V189" s="15"/>
      <c r="W189" s="15"/>
      <c r="X189" s="15"/>
      <c r="Y189" s="15"/>
      <c r="Z189" s="16"/>
    </row>
    <row r="190" spans="1:26" ht="56.25" customHeight="1" x14ac:dyDescent="0.35">
      <c r="A190" s="10">
        <v>189</v>
      </c>
      <c r="B190" s="26" t="s">
        <v>261</v>
      </c>
      <c r="C190" s="147" t="s">
        <v>233</v>
      </c>
      <c r="D190" s="137">
        <v>45527</v>
      </c>
      <c r="E190" s="42">
        <v>21.005152371658799</v>
      </c>
      <c r="F190" s="42">
        <v>105.80954330208699</v>
      </c>
      <c r="G190" s="10">
        <v>7.9</v>
      </c>
      <c r="H190" s="180" t="s">
        <v>247</v>
      </c>
      <c r="I190" s="180">
        <v>0.97916666666666663</v>
      </c>
      <c r="J190" s="20">
        <v>1.5</v>
      </c>
      <c r="K190" s="8" t="s">
        <v>456</v>
      </c>
      <c r="L190" s="27">
        <v>15</v>
      </c>
      <c r="M190" s="27"/>
      <c r="N190" s="77" t="s">
        <v>466</v>
      </c>
      <c r="O190" s="43" t="s">
        <v>263</v>
      </c>
      <c r="Q190" s="269">
        <v>66.959999999999994</v>
      </c>
      <c r="R190" s="213">
        <v>49.46</v>
      </c>
      <c r="S190" s="277">
        <v>34.299999999999997</v>
      </c>
      <c r="T190" s="278" t="e">
        <f>Table_1[[#This Row],[Rain_fall (mm)]]/Table_1[[#This Row],[Factors]]</f>
        <v>#VALUE!</v>
      </c>
      <c r="U190" s="278" t="s">
        <v>562</v>
      </c>
      <c r="V190" s="15"/>
      <c r="W190" s="15"/>
      <c r="X190" s="15"/>
      <c r="Y190" s="15"/>
      <c r="Z190" s="16"/>
    </row>
    <row r="191" spans="1:26" ht="56.25" customHeight="1" x14ac:dyDescent="0.35">
      <c r="A191" s="8">
        <v>190</v>
      </c>
      <c r="B191" s="26" t="s">
        <v>230</v>
      </c>
      <c r="C191" s="147" t="s">
        <v>231</v>
      </c>
      <c r="D191" s="137">
        <v>45266</v>
      </c>
      <c r="E191" s="25">
        <v>20.995000000000001</v>
      </c>
      <c r="F191" s="25">
        <v>105.80800000000001</v>
      </c>
      <c r="G191" s="10">
        <v>8.57</v>
      </c>
      <c r="H191" s="186">
        <v>0.5</v>
      </c>
      <c r="I191" s="186">
        <v>0.54166666666666663</v>
      </c>
      <c r="J191" s="27">
        <v>1</v>
      </c>
      <c r="K191" s="26" t="s">
        <v>456</v>
      </c>
      <c r="L191" s="27" t="s">
        <v>234</v>
      </c>
      <c r="M191" s="27" t="s">
        <v>264</v>
      </c>
      <c r="N191" s="26" t="s">
        <v>469</v>
      </c>
      <c r="O191" s="85" t="s">
        <v>232</v>
      </c>
      <c r="Q191" s="269">
        <v>0.77</v>
      </c>
      <c r="R191" s="213">
        <v>534.91999999999996</v>
      </c>
      <c r="S191" s="277">
        <v>4.2</v>
      </c>
      <c r="T191" s="278" t="e">
        <f>Table_1[[#This Row],[Rain_fall (mm)]]/Table_1[[#This Row],[Factors]]</f>
        <v>#VALUE!</v>
      </c>
      <c r="U191" s="278" t="s">
        <v>562</v>
      </c>
      <c r="V191" s="15"/>
      <c r="W191" s="15"/>
      <c r="X191" s="15"/>
      <c r="Y191" s="15"/>
      <c r="Z191" s="16"/>
    </row>
    <row r="192" spans="1:26" ht="56.25" customHeight="1" x14ac:dyDescent="0.35">
      <c r="A192" s="8">
        <v>191</v>
      </c>
      <c r="B192" s="26" t="s">
        <v>230</v>
      </c>
      <c r="C192" s="147" t="s">
        <v>172</v>
      </c>
      <c r="D192" s="137">
        <v>45266</v>
      </c>
      <c r="E192" s="25">
        <v>20.984999999999999</v>
      </c>
      <c r="F192" s="25">
        <v>105.798</v>
      </c>
      <c r="G192" s="10">
        <v>8.36</v>
      </c>
      <c r="H192" s="186">
        <v>0.5</v>
      </c>
      <c r="I192" s="186">
        <v>0.54166666666666663</v>
      </c>
      <c r="J192" s="27">
        <v>1</v>
      </c>
      <c r="K192" s="26" t="s">
        <v>456</v>
      </c>
      <c r="L192" s="27" t="s">
        <v>265</v>
      </c>
      <c r="M192" s="27" t="s">
        <v>264</v>
      </c>
      <c r="N192" s="26" t="s">
        <v>472</v>
      </c>
      <c r="O192" s="85" t="s">
        <v>232</v>
      </c>
      <c r="Q192" s="269">
        <v>0.77</v>
      </c>
      <c r="R192" s="213">
        <v>399.98</v>
      </c>
      <c r="S192" s="277">
        <v>4.2</v>
      </c>
      <c r="T192" s="278" t="e">
        <f>Table_1[[#This Row],[Rain_fall (mm)]]/Table_1[[#This Row],[Factors]]</f>
        <v>#VALUE!</v>
      </c>
      <c r="U192" s="278" t="s">
        <v>562</v>
      </c>
      <c r="V192" s="15"/>
      <c r="W192" s="15"/>
      <c r="X192" s="15"/>
      <c r="Y192" s="15"/>
      <c r="Z192" s="16"/>
    </row>
    <row r="193" spans="1:26" ht="56.25" customHeight="1" x14ac:dyDescent="0.35">
      <c r="A193" s="10">
        <v>192</v>
      </c>
      <c r="B193" s="26" t="s">
        <v>230</v>
      </c>
      <c r="C193" s="147" t="s">
        <v>233</v>
      </c>
      <c r="D193" s="137">
        <v>45238</v>
      </c>
      <c r="E193" s="25">
        <v>21.004999999999999</v>
      </c>
      <c r="F193" s="25">
        <v>105.81</v>
      </c>
      <c r="G193" s="10">
        <v>7.9</v>
      </c>
      <c r="H193" s="186">
        <v>0.5</v>
      </c>
      <c r="I193" s="186">
        <v>0.54166666666666663</v>
      </c>
      <c r="J193" s="27">
        <v>1</v>
      </c>
      <c r="K193" s="26" t="s">
        <v>456</v>
      </c>
      <c r="L193" s="27" t="s">
        <v>234</v>
      </c>
      <c r="M193" s="27" t="s">
        <v>251</v>
      </c>
      <c r="N193" s="26" t="s">
        <v>472</v>
      </c>
      <c r="O193" s="85" t="s">
        <v>235</v>
      </c>
      <c r="Q193" s="269">
        <v>0.23</v>
      </c>
      <c r="R193" s="213">
        <v>12.45</v>
      </c>
      <c r="S193" s="277">
        <v>0</v>
      </c>
      <c r="T193" s="278" t="e">
        <f>Table_1[[#This Row],[Rain_fall (mm)]]/Table_1[[#This Row],[Factors]]</f>
        <v>#VALUE!</v>
      </c>
      <c r="U193" s="278" t="s">
        <v>562</v>
      </c>
      <c r="V193" s="15"/>
      <c r="W193" s="15"/>
      <c r="X193" s="15"/>
      <c r="Y193" s="15"/>
      <c r="Z193" s="16"/>
    </row>
    <row r="194" spans="1:26" ht="56.25" customHeight="1" x14ac:dyDescent="0.35">
      <c r="A194" s="8">
        <v>193</v>
      </c>
      <c r="B194" s="26" t="s">
        <v>230</v>
      </c>
      <c r="C194" s="147" t="s">
        <v>236</v>
      </c>
      <c r="D194" s="137" t="s">
        <v>478</v>
      </c>
      <c r="E194" s="25">
        <v>20.995000000000001</v>
      </c>
      <c r="F194" s="25">
        <v>105.80800000000001</v>
      </c>
      <c r="G194" s="10">
        <v>7.66</v>
      </c>
      <c r="H194" s="186">
        <v>0.95833333333333337</v>
      </c>
      <c r="I194" s="186">
        <v>0.25</v>
      </c>
      <c r="J194" s="27">
        <v>7</v>
      </c>
      <c r="K194" s="26" t="s">
        <v>456</v>
      </c>
      <c r="L194" s="27" t="s">
        <v>265</v>
      </c>
      <c r="M194" s="27" t="s">
        <v>266</v>
      </c>
      <c r="N194" s="26" t="s">
        <v>469</v>
      </c>
      <c r="O194" s="85" t="s">
        <v>237</v>
      </c>
      <c r="Q194" s="269">
        <v>68.59</v>
      </c>
      <c r="R194" s="213">
        <v>534.91999999999996</v>
      </c>
      <c r="S194" s="277">
        <v>33</v>
      </c>
      <c r="T194" s="278" t="e">
        <f>Table_1[[#This Row],[Rain_fall (mm)]]/Table_1[[#This Row],[Factors]]</f>
        <v>#VALUE!</v>
      </c>
      <c r="U194" s="278" t="s">
        <v>562</v>
      </c>
      <c r="V194" s="15"/>
      <c r="W194" s="15"/>
      <c r="X194" s="15"/>
      <c r="Y194" s="15"/>
      <c r="Z194" s="16"/>
    </row>
    <row r="195" spans="1:26" ht="56.25" customHeight="1" x14ac:dyDescent="0.35">
      <c r="A195" s="8">
        <v>194</v>
      </c>
      <c r="B195" s="26" t="s">
        <v>230</v>
      </c>
      <c r="C195" s="147" t="s">
        <v>238</v>
      </c>
      <c r="D195" s="137" t="s">
        <v>478</v>
      </c>
      <c r="E195" s="25">
        <v>20.988</v>
      </c>
      <c r="F195" s="25">
        <v>105.818</v>
      </c>
      <c r="G195" s="10">
        <v>9.4600000000000009</v>
      </c>
      <c r="H195" s="186">
        <v>0.25</v>
      </c>
      <c r="I195" s="197">
        <v>0.39583333333333331</v>
      </c>
      <c r="J195" s="27">
        <v>3.5</v>
      </c>
      <c r="K195" s="26" t="s">
        <v>456</v>
      </c>
      <c r="L195" s="27" t="s">
        <v>267</v>
      </c>
      <c r="M195" s="27" t="s">
        <v>265</v>
      </c>
      <c r="N195" s="26" t="s">
        <v>466</v>
      </c>
      <c r="O195" s="85" t="s">
        <v>239</v>
      </c>
      <c r="Q195" s="269">
        <v>68.59</v>
      </c>
      <c r="R195" s="213">
        <v>0</v>
      </c>
      <c r="S195" s="277">
        <v>33</v>
      </c>
      <c r="T195" s="278" t="e">
        <f>Table_1[[#This Row],[Rain_fall (mm)]]/Table_1[[#This Row],[Factors]]</f>
        <v>#VALUE!</v>
      </c>
      <c r="U195" s="278" t="s">
        <v>562</v>
      </c>
      <c r="V195" s="15"/>
      <c r="W195" s="15"/>
      <c r="X195" s="15"/>
      <c r="Y195" s="15"/>
      <c r="Z195" s="16"/>
    </row>
    <row r="196" spans="1:26" ht="56.25" customHeight="1" x14ac:dyDescent="0.35">
      <c r="A196" s="10">
        <v>195</v>
      </c>
      <c r="B196" s="26" t="s">
        <v>230</v>
      </c>
      <c r="C196" s="147" t="s">
        <v>240</v>
      </c>
      <c r="D196" s="137" t="s">
        <v>478</v>
      </c>
      <c r="E196" s="25">
        <v>20.9990905576263</v>
      </c>
      <c r="F196" s="42">
        <v>105.821847725401</v>
      </c>
      <c r="G196" s="10">
        <v>12.99</v>
      </c>
      <c r="H196" s="186">
        <v>0.25</v>
      </c>
      <c r="I196" s="186">
        <v>0.375</v>
      </c>
      <c r="J196" s="27">
        <v>3</v>
      </c>
      <c r="K196" s="26" t="s">
        <v>456</v>
      </c>
      <c r="L196" s="27" t="s">
        <v>234</v>
      </c>
      <c r="M196" s="27" t="s">
        <v>265</v>
      </c>
      <c r="N196" s="26" t="s">
        <v>466</v>
      </c>
      <c r="O196" s="85" t="s">
        <v>241</v>
      </c>
      <c r="Q196" s="269">
        <v>68.59</v>
      </c>
      <c r="R196" s="213">
        <v>362.59</v>
      </c>
      <c r="S196" s="277">
        <v>33</v>
      </c>
      <c r="T196" s="278" t="e">
        <f>Table_1[[#This Row],[Rain_fall (mm)]]/Table_1[[#This Row],[Factors]]</f>
        <v>#VALUE!</v>
      </c>
      <c r="U196" s="278" t="s">
        <v>562</v>
      </c>
      <c r="V196" s="15"/>
      <c r="W196" s="15"/>
      <c r="X196" s="15"/>
      <c r="Y196" s="15"/>
      <c r="Z196" s="16"/>
    </row>
    <row r="197" spans="1:26" ht="56.25" customHeight="1" x14ac:dyDescent="0.35">
      <c r="A197" s="8">
        <v>196</v>
      </c>
      <c r="B197" s="26" t="s">
        <v>230</v>
      </c>
      <c r="C197" s="147" t="s">
        <v>236</v>
      </c>
      <c r="D197" s="137">
        <v>45631</v>
      </c>
      <c r="E197" s="25">
        <v>20.995000000000001</v>
      </c>
      <c r="F197" s="25">
        <v>105.80800000000001</v>
      </c>
      <c r="G197" s="10">
        <v>7.66</v>
      </c>
      <c r="H197" s="186">
        <v>0.75</v>
      </c>
      <c r="I197" s="186">
        <v>0.84722222222222221</v>
      </c>
      <c r="J197" s="27">
        <v>2.33</v>
      </c>
      <c r="K197" s="26" t="s">
        <v>456</v>
      </c>
      <c r="L197" s="27" t="s">
        <v>265</v>
      </c>
      <c r="M197" s="27" t="s">
        <v>268</v>
      </c>
      <c r="N197" s="26" t="s">
        <v>469</v>
      </c>
      <c r="O197" s="85" t="s">
        <v>38</v>
      </c>
      <c r="Q197" s="269">
        <v>0.09</v>
      </c>
      <c r="R197" s="213">
        <v>534.91999999999996</v>
      </c>
      <c r="S197" s="277">
        <v>0</v>
      </c>
      <c r="T197" s="278" t="e">
        <f>Table_1[[#This Row],[Rain_fall (mm)]]/Table_1[[#This Row],[Factors]]</f>
        <v>#VALUE!</v>
      </c>
      <c r="U197" s="278" t="s">
        <v>562</v>
      </c>
      <c r="V197" s="15"/>
      <c r="W197" s="15"/>
      <c r="X197" s="15"/>
      <c r="Y197" s="15"/>
      <c r="Z197" s="16"/>
    </row>
    <row r="198" spans="1:26" ht="56.25" customHeight="1" x14ac:dyDescent="0.35">
      <c r="A198" s="8">
        <v>197</v>
      </c>
      <c r="B198" s="26" t="s">
        <v>230</v>
      </c>
      <c r="C198" s="147" t="s">
        <v>172</v>
      </c>
      <c r="D198" s="137">
        <v>45631</v>
      </c>
      <c r="E198" s="25">
        <v>20.984999999999999</v>
      </c>
      <c r="F198" s="25">
        <v>105.798</v>
      </c>
      <c r="G198" s="10">
        <v>8.36</v>
      </c>
      <c r="H198" s="186">
        <v>0</v>
      </c>
      <c r="I198" s="186">
        <v>0</v>
      </c>
      <c r="J198" s="27">
        <v>0</v>
      </c>
      <c r="K198" s="26" t="s">
        <v>456</v>
      </c>
      <c r="L198" s="27" t="s">
        <v>259</v>
      </c>
      <c r="M198" s="27" t="s">
        <v>268</v>
      </c>
      <c r="N198" s="26" t="s">
        <v>472</v>
      </c>
      <c r="O198" s="85" t="s">
        <v>243</v>
      </c>
      <c r="Q198" s="269">
        <v>0.09</v>
      </c>
      <c r="R198" s="213">
        <v>399.98</v>
      </c>
      <c r="S198" s="277">
        <v>0</v>
      </c>
      <c r="T198" s="278" t="e">
        <f>Table_1[[#This Row],[Rain_fall (mm)]]/Table_1[[#This Row],[Factors]]</f>
        <v>#VALUE!</v>
      </c>
      <c r="U198" s="278" t="s">
        <v>562</v>
      </c>
      <c r="V198" s="15"/>
      <c r="W198" s="15"/>
      <c r="X198" s="15"/>
      <c r="Y198" s="15"/>
      <c r="Z198" s="16"/>
    </row>
    <row r="199" spans="1:26" ht="56.25" customHeight="1" x14ac:dyDescent="0.35">
      <c r="A199" s="10">
        <v>198</v>
      </c>
      <c r="B199" s="26" t="s">
        <v>230</v>
      </c>
      <c r="C199" s="147" t="s">
        <v>172</v>
      </c>
      <c r="D199" s="137" t="s">
        <v>479</v>
      </c>
      <c r="E199" s="25">
        <v>20.984999999999999</v>
      </c>
      <c r="F199" s="25">
        <v>105.798</v>
      </c>
      <c r="G199" s="10">
        <v>8.36</v>
      </c>
      <c r="H199" s="186">
        <v>0</v>
      </c>
      <c r="I199" s="186">
        <v>0</v>
      </c>
      <c r="J199" s="27">
        <v>0</v>
      </c>
      <c r="K199" s="26" t="s">
        <v>456</v>
      </c>
      <c r="L199" s="27" t="s">
        <v>259</v>
      </c>
      <c r="M199" s="27" t="s">
        <v>266</v>
      </c>
      <c r="N199" s="26" t="s">
        <v>469</v>
      </c>
      <c r="O199" s="85" t="s">
        <v>245</v>
      </c>
      <c r="Q199" s="269">
        <v>16.510000000000002</v>
      </c>
      <c r="R199" s="213">
        <v>399.98</v>
      </c>
      <c r="S199" s="277">
        <v>60.6</v>
      </c>
      <c r="T199" s="278" t="e">
        <f>Table_1[[#This Row],[Rain_fall (mm)]]/Table_1[[#This Row],[Factors]]</f>
        <v>#VALUE!</v>
      </c>
      <c r="U199" s="278" t="s">
        <v>562</v>
      </c>
      <c r="V199" s="15"/>
      <c r="W199" s="15"/>
      <c r="X199" s="15"/>
      <c r="Y199" s="15"/>
      <c r="Z199" s="16"/>
    </row>
    <row r="200" spans="1:26" ht="56.25" customHeight="1" x14ac:dyDescent="0.35">
      <c r="A200" s="8">
        <v>199</v>
      </c>
      <c r="B200" s="26" t="s">
        <v>230</v>
      </c>
      <c r="C200" s="147" t="s">
        <v>172</v>
      </c>
      <c r="D200" s="137" t="s">
        <v>479</v>
      </c>
      <c r="E200" s="25">
        <v>20.984999999999999</v>
      </c>
      <c r="F200" s="25">
        <v>105.798</v>
      </c>
      <c r="G200" s="10">
        <v>8.36</v>
      </c>
      <c r="H200" s="186">
        <v>0</v>
      </c>
      <c r="I200" s="186">
        <v>0</v>
      </c>
      <c r="J200" s="27">
        <v>0</v>
      </c>
      <c r="K200" s="26" t="s">
        <v>456</v>
      </c>
      <c r="L200" s="27" t="s">
        <v>265</v>
      </c>
      <c r="M200" s="27" t="s">
        <v>266</v>
      </c>
      <c r="N200" s="26" t="s">
        <v>466</v>
      </c>
      <c r="O200" s="85" t="s">
        <v>246</v>
      </c>
      <c r="Q200" s="269">
        <v>16.510000000000002</v>
      </c>
      <c r="R200" s="213">
        <v>399.98</v>
      </c>
      <c r="S200" s="277">
        <v>60.6</v>
      </c>
      <c r="T200" s="278" t="e">
        <f>Table_1[[#This Row],[Rain_fall (mm)]]/Table_1[[#This Row],[Factors]]</f>
        <v>#VALUE!</v>
      </c>
      <c r="U200" s="278" t="s">
        <v>562</v>
      </c>
      <c r="V200" s="15"/>
      <c r="W200" s="15"/>
      <c r="X200" s="15"/>
      <c r="Y200" s="15"/>
      <c r="Z200" s="16"/>
    </row>
    <row r="201" spans="1:26" ht="56.25" customHeight="1" x14ac:dyDescent="0.35">
      <c r="A201" s="8">
        <v>200</v>
      </c>
      <c r="B201" s="26" t="s">
        <v>230</v>
      </c>
      <c r="C201" s="147" t="s">
        <v>238</v>
      </c>
      <c r="D201" s="137" t="s">
        <v>480</v>
      </c>
      <c r="E201" s="25">
        <v>20.988</v>
      </c>
      <c r="F201" s="25">
        <v>105.818</v>
      </c>
      <c r="G201" s="10">
        <v>9.4600000000000009</v>
      </c>
      <c r="H201" s="186">
        <v>0.91666666666666663</v>
      </c>
      <c r="I201" s="186">
        <v>0.95833333333333337</v>
      </c>
      <c r="J201" s="27">
        <v>1</v>
      </c>
      <c r="K201" s="26" t="s">
        <v>456</v>
      </c>
      <c r="L201" s="27" t="s">
        <v>259</v>
      </c>
      <c r="M201" s="27" t="s">
        <v>269</v>
      </c>
      <c r="N201" s="26" t="s">
        <v>472</v>
      </c>
      <c r="O201" s="85" t="s">
        <v>248</v>
      </c>
      <c r="Q201" s="269">
        <v>66.959999999999994</v>
      </c>
      <c r="R201" s="213">
        <v>0</v>
      </c>
      <c r="S201" s="277">
        <v>34.299999999999997</v>
      </c>
      <c r="T201" s="278" t="e">
        <f>Table_1[[#This Row],[Rain_fall (mm)]]/Table_1[[#This Row],[Factors]]</f>
        <v>#VALUE!</v>
      </c>
      <c r="U201" s="278" t="s">
        <v>562</v>
      </c>
      <c r="V201" s="15"/>
      <c r="W201" s="15"/>
      <c r="X201" s="15"/>
      <c r="Y201" s="15"/>
      <c r="Z201" s="16"/>
    </row>
    <row r="202" spans="1:26" ht="56.25" customHeight="1" x14ac:dyDescent="0.35">
      <c r="A202" s="10">
        <v>201</v>
      </c>
      <c r="B202" s="26" t="s">
        <v>230</v>
      </c>
      <c r="C202" s="147" t="s">
        <v>172</v>
      </c>
      <c r="D202" s="137">
        <v>45482</v>
      </c>
      <c r="E202" s="25">
        <v>20.984999999999999</v>
      </c>
      <c r="F202" s="25">
        <v>105.798</v>
      </c>
      <c r="G202" s="10">
        <v>8.36</v>
      </c>
      <c r="H202" s="186">
        <v>0.66666666666666663</v>
      </c>
      <c r="I202" s="186">
        <v>0.79166666666666663</v>
      </c>
      <c r="J202" s="27">
        <v>3</v>
      </c>
      <c r="K202" s="26" t="s">
        <v>456</v>
      </c>
      <c r="L202" s="27" t="s">
        <v>259</v>
      </c>
      <c r="M202" s="27" t="s">
        <v>270</v>
      </c>
      <c r="N202" s="26" t="s">
        <v>466</v>
      </c>
      <c r="O202" s="85" t="s">
        <v>249</v>
      </c>
      <c r="Q202" s="269">
        <v>6</v>
      </c>
      <c r="R202" s="213">
        <v>399.98</v>
      </c>
      <c r="S202" s="277">
        <v>0.4</v>
      </c>
      <c r="T202" s="278" t="e">
        <f>Table_1[[#This Row],[Rain_fall (mm)]]/Table_1[[#This Row],[Factors]]</f>
        <v>#VALUE!</v>
      </c>
      <c r="U202" s="278" t="s">
        <v>562</v>
      </c>
      <c r="V202" s="15"/>
      <c r="W202" s="15"/>
      <c r="X202" s="15"/>
      <c r="Y202" s="15"/>
      <c r="Z202" s="16"/>
    </row>
    <row r="203" spans="1:26" ht="56.25" customHeight="1" x14ac:dyDescent="0.35">
      <c r="A203" s="8">
        <v>202</v>
      </c>
      <c r="B203" s="26" t="s">
        <v>230</v>
      </c>
      <c r="C203" s="147" t="s">
        <v>236</v>
      </c>
      <c r="D203" s="137">
        <v>45482</v>
      </c>
      <c r="E203" s="25">
        <v>20.995000000000001</v>
      </c>
      <c r="F203" s="25">
        <v>105.80800000000001</v>
      </c>
      <c r="G203" s="10">
        <v>7.66</v>
      </c>
      <c r="H203" s="186">
        <v>0.79166666666666663</v>
      </c>
      <c r="I203" s="186">
        <v>4.1666666666666664E-2</v>
      </c>
      <c r="J203" s="27">
        <v>6</v>
      </c>
      <c r="K203" s="26" t="s">
        <v>456</v>
      </c>
      <c r="L203" s="27" t="s">
        <v>265</v>
      </c>
      <c r="M203" s="27" t="s">
        <v>270</v>
      </c>
      <c r="N203" s="26" t="s">
        <v>472</v>
      </c>
      <c r="O203" s="85" t="s">
        <v>250</v>
      </c>
      <c r="Q203" s="269">
        <v>6</v>
      </c>
      <c r="R203" s="213">
        <v>534.91999999999996</v>
      </c>
      <c r="S203" s="277">
        <v>0.4</v>
      </c>
      <c r="T203" s="278" t="e">
        <f>Table_1[[#This Row],[Rain_fall (mm)]]/Table_1[[#This Row],[Factors]]</f>
        <v>#VALUE!</v>
      </c>
      <c r="U203" s="278" t="s">
        <v>562</v>
      </c>
      <c r="V203" s="15"/>
      <c r="W203" s="15"/>
      <c r="X203" s="15"/>
      <c r="Y203" s="15"/>
      <c r="Z203" s="16"/>
    </row>
    <row r="204" spans="1:26" ht="56.25" customHeight="1" x14ac:dyDescent="0.35">
      <c r="A204" s="8">
        <v>203</v>
      </c>
      <c r="B204" s="26" t="s">
        <v>230</v>
      </c>
      <c r="C204" s="147" t="s">
        <v>236</v>
      </c>
      <c r="D204" s="137">
        <v>45848</v>
      </c>
      <c r="E204" s="25">
        <v>20.995000000000001</v>
      </c>
      <c r="F204" s="25">
        <v>105.80800000000001</v>
      </c>
      <c r="G204" s="10">
        <v>7.66</v>
      </c>
      <c r="H204" s="186">
        <v>1</v>
      </c>
      <c r="I204" s="186">
        <v>0.33333333333333331</v>
      </c>
      <c r="J204" s="27">
        <v>8</v>
      </c>
      <c r="K204" s="26" t="s">
        <v>456</v>
      </c>
      <c r="L204" s="27" t="s">
        <v>251</v>
      </c>
      <c r="M204" s="27" t="s">
        <v>271</v>
      </c>
      <c r="N204" s="26" t="s">
        <v>475</v>
      </c>
      <c r="O204" s="85" t="s">
        <v>252</v>
      </c>
      <c r="Q204" s="269">
        <v>5.09</v>
      </c>
      <c r="R204" s="213">
        <v>534.91999999999996</v>
      </c>
      <c r="S204" s="277">
        <v>0.5</v>
      </c>
      <c r="T204" s="278" t="e">
        <f>Table_1[[#This Row],[Rain_fall (mm)]]/Table_1[[#This Row],[Factors]]</f>
        <v>#VALUE!</v>
      </c>
      <c r="U204" s="278" t="s">
        <v>562</v>
      </c>
      <c r="V204" s="15"/>
      <c r="W204" s="15"/>
      <c r="X204" s="15"/>
      <c r="Y204" s="15"/>
      <c r="Z204" s="16"/>
    </row>
    <row r="205" spans="1:26" ht="56.25" customHeight="1" x14ac:dyDescent="0.35">
      <c r="A205" s="10">
        <v>204</v>
      </c>
      <c r="B205" s="26" t="s">
        <v>230</v>
      </c>
      <c r="C205" s="147" t="s">
        <v>253</v>
      </c>
      <c r="D205" s="137">
        <v>45848</v>
      </c>
      <c r="E205" s="58">
        <v>20.998183575026498</v>
      </c>
      <c r="F205" s="58">
        <v>105.803833146294</v>
      </c>
      <c r="G205" s="10">
        <v>8.36</v>
      </c>
      <c r="H205" s="186">
        <v>1</v>
      </c>
      <c r="I205" s="186">
        <v>0.33333333333333331</v>
      </c>
      <c r="J205" s="27">
        <v>8</v>
      </c>
      <c r="K205" s="26" t="s">
        <v>456</v>
      </c>
      <c r="L205" s="27" t="s">
        <v>251</v>
      </c>
      <c r="M205" s="27" t="s">
        <v>271</v>
      </c>
      <c r="N205" s="26" t="s">
        <v>475</v>
      </c>
      <c r="O205" s="85" t="s">
        <v>252</v>
      </c>
      <c r="Q205" s="269">
        <v>5.09</v>
      </c>
      <c r="R205" s="213">
        <v>393.81</v>
      </c>
      <c r="S205" s="277">
        <v>0.5</v>
      </c>
      <c r="T205" s="278" t="e">
        <f>Table_1[[#This Row],[Rain_fall (mm)]]/Table_1[[#This Row],[Factors]]</f>
        <v>#VALUE!</v>
      </c>
      <c r="U205" s="278" t="s">
        <v>562</v>
      </c>
      <c r="V205" s="15"/>
      <c r="W205" s="15"/>
      <c r="X205" s="15"/>
      <c r="Y205" s="15"/>
      <c r="Z205" s="16"/>
    </row>
    <row r="206" spans="1:26" ht="56.25" customHeight="1" x14ac:dyDescent="0.35">
      <c r="A206" s="8">
        <v>205</v>
      </c>
      <c r="B206" s="26" t="s">
        <v>230</v>
      </c>
      <c r="C206" s="147" t="s">
        <v>254</v>
      </c>
      <c r="D206" s="137">
        <v>45848</v>
      </c>
      <c r="E206" s="29">
        <v>20.999841386816499</v>
      </c>
      <c r="F206" s="29">
        <v>105.808152111908</v>
      </c>
      <c r="G206" s="10">
        <v>9.9700000000000006</v>
      </c>
      <c r="H206" s="27">
        <v>0</v>
      </c>
      <c r="I206" s="27">
        <v>0</v>
      </c>
      <c r="J206" s="27">
        <v>0</v>
      </c>
      <c r="K206" s="26" t="s">
        <v>456</v>
      </c>
      <c r="L206" s="27" t="s">
        <v>259</v>
      </c>
      <c r="M206" s="27" t="s">
        <v>271</v>
      </c>
      <c r="N206" s="26" t="s">
        <v>466</v>
      </c>
      <c r="O206" s="85" t="s">
        <v>255</v>
      </c>
      <c r="Q206" s="269">
        <v>5.09</v>
      </c>
      <c r="R206" s="213">
        <v>538.32000000000005</v>
      </c>
      <c r="S206" s="277">
        <v>0.5</v>
      </c>
      <c r="T206" s="278" t="e">
        <f>Table_1[[#This Row],[Rain_fall (mm)]]/Table_1[[#This Row],[Factors]]</f>
        <v>#VALUE!</v>
      </c>
      <c r="U206" s="278" t="s">
        <v>562</v>
      </c>
      <c r="V206" s="15"/>
      <c r="W206" s="15"/>
      <c r="X206" s="15"/>
      <c r="Y206" s="15"/>
      <c r="Z206" s="16"/>
    </row>
    <row r="207" spans="1:26" ht="56.25" customHeight="1" x14ac:dyDescent="0.35">
      <c r="A207" s="8">
        <v>206</v>
      </c>
      <c r="B207" s="26" t="s">
        <v>230</v>
      </c>
      <c r="C207" s="147" t="s">
        <v>172</v>
      </c>
      <c r="D207" s="137">
        <v>45848</v>
      </c>
      <c r="E207" s="25">
        <v>20.984999999999999</v>
      </c>
      <c r="F207" s="25">
        <v>105.798</v>
      </c>
      <c r="G207" s="10">
        <v>8.36</v>
      </c>
      <c r="H207" s="186">
        <v>0.20833333333333334</v>
      </c>
      <c r="I207" s="186">
        <v>0.375</v>
      </c>
      <c r="J207" s="27">
        <v>4</v>
      </c>
      <c r="K207" s="26" t="s">
        <v>456</v>
      </c>
      <c r="L207" s="27" t="s">
        <v>251</v>
      </c>
      <c r="M207" s="27" t="s">
        <v>271</v>
      </c>
      <c r="N207" s="26" t="s">
        <v>472</v>
      </c>
      <c r="O207" s="85" t="s">
        <v>256</v>
      </c>
      <c r="Q207" s="269">
        <v>5.09</v>
      </c>
      <c r="R207" s="213">
        <v>399.98</v>
      </c>
      <c r="S207" s="277">
        <v>0.5</v>
      </c>
      <c r="T207" s="278" t="e">
        <f>Table_1[[#This Row],[Rain_fall (mm)]]/Table_1[[#This Row],[Factors]]</f>
        <v>#VALUE!</v>
      </c>
      <c r="U207" s="278" t="s">
        <v>562</v>
      </c>
      <c r="V207" s="15"/>
      <c r="W207" s="15"/>
      <c r="X207" s="15"/>
      <c r="Y207" s="15"/>
      <c r="Z207" s="16"/>
    </row>
    <row r="208" spans="1:26" ht="56.25" customHeight="1" x14ac:dyDescent="0.35">
      <c r="A208" s="10">
        <v>207</v>
      </c>
      <c r="B208" s="26" t="s">
        <v>230</v>
      </c>
      <c r="C208" s="147" t="s">
        <v>257</v>
      </c>
      <c r="D208" s="137">
        <v>45848</v>
      </c>
      <c r="E208" s="25">
        <v>20.995999999999999</v>
      </c>
      <c r="F208" s="25">
        <v>105.79600000000001</v>
      </c>
      <c r="G208" s="10">
        <v>8.36</v>
      </c>
      <c r="H208" s="186">
        <v>0.25</v>
      </c>
      <c r="I208" s="186">
        <v>0.375</v>
      </c>
      <c r="J208" s="27">
        <v>3</v>
      </c>
      <c r="K208" s="26" t="s">
        <v>456</v>
      </c>
      <c r="L208" s="27" t="s">
        <v>259</v>
      </c>
      <c r="M208" s="27" t="s">
        <v>271</v>
      </c>
      <c r="N208" s="26" t="s">
        <v>466</v>
      </c>
      <c r="O208" s="85" t="s">
        <v>258</v>
      </c>
      <c r="Q208" s="269">
        <v>5.09</v>
      </c>
      <c r="R208" s="213">
        <v>429.43</v>
      </c>
      <c r="S208" s="277">
        <v>0.5</v>
      </c>
      <c r="T208" s="278" t="e">
        <f>Table_1[[#This Row],[Rain_fall (mm)]]/Table_1[[#This Row],[Factors]]</f>
        <v>#VALUE!</v>
      </c>
      <c r="U208" s="278" t="s">
        <v>562</v>
      </c>
      <c r="V208" s="15"/>
      <c r="W208" s="15"/>
      <c r="X208" s="15"/>
      <c r="Y208" s="15"/>
      <c r="Z208" s="16"/>
    </row>
    <row r="209" spans="1:26" ht="56.25" customHeight="1" x14ac:dyDescent="0.35">
      <c r="A209" s="8">
        <v>208</v>
      </c>
      <c r="B209" s="26" t="s">
        <v>230</v>
      </c>
      <c r="C209" s="147" t="s">
        <v>236</v>
      </c>
      <c r="D209" s="137" t="s">
        <v>481</v>
      </c>
      <c r="E209" s="25">
        <v>20.99388579</v>
      </c>
      <c r="F209" s="25">
        <v>105.8066882</v>
      </c>
      <c r="G209" s="10">
        <v>7.66</v>
      </c>
      <c r="H209" s="186">
        <v>1</v>
      </c>
      <c r="I209" s="186">
        <v>0.20833333333333334</v>
      </c>
      <c r="J209" s="27">
        <v>5</v>
      </c>
      <c r="K209" s="26" t="s">
        <v>456</v>
      </c>
      <c r="L209" s="27" t="s">
        <v>259</v>
      </c>
      <c r="M209" s="27" t="s">
        <v>272</v>
      </c>
      <c r="N209" s="26" t="s">
        <v>466</v>
      </c>
      <c r="O209" s="85" t="s">
        <v>273</v>
      </c>
      <c r="Q209" s="269">
        <v>5.46</v>
      </c>
      <c r="R209" s="213">
        <v>406.18</v>
      </c>
      <c r="S209" s="277">
        <v>25</v>
      </c>
      <c r="T209" s="278" t="e">
        <f>Table_1[[#This Row],[Rain_fall (mm)]]/Table_1[[#This Row],[Factors]]</f>
        <v>#VALUE!</v>
      </c>
      <c r="U209" s="278" t="s">
        <v>562</v>
      </c>
      <c r="V209" s="15"/>
      <c r="W209" s="15"/>
      <c r="X209" s="15"/>
      <c r="Y209" s="15"/>
      <c r="Z209" s="16"/>
    </row>
    <row r="210" spans="1:26" ht="56.25" customHeight="1" x14ac:dyDescent="0.35">
      <c r="A210" s="8">
        <v>209</v>
      </c>
      <c r="B210" s="26" t="s">
        <v>230</v>
      </c>
      <c r="C210" s="147" t="s">
        <v>240</v>
      </c>
      <c r="D210" s="137" t="s">
        <v>481</v>
      </c>
      <c r="E210" s="25">
        <v>20.999060530000001</v>
      </c>
      <c r="F210" s="25" t="s">
        <v>274</v>
      </c>
      <c r="G210" s="10">
        <v>12.99</v>
      </c>
      <c r="H210" s="186">
        <v>1</v>
      </c>
      <c r="I210" s="186">
        <v>0.20833333333333334</v>
      </c>
      <c r="J210" s="27">
        <v>5</v>
      </c>
      <c r="K210" s="26" t="s">
        <v>456</v>
      </c>
      <c r="L210" s="27" t="s">
        <v>234</v>
      </c>
      <c r="M210" s="27" t="s">
        <v>272</v>
      </c>
      <c r="N210" s="26" t="s">
        <v>466</v>
      </c>
      <c r="O210" s="85" t="s">
        <v>273</v>
      </c>
      <c r="Q210" s="269">
        <v>5.46</v>
      </c>
      <c r="R210" s="213">
        <v>388.26</v>
      </c>
      <c r="S210" s="277">
        <v>25</v>
      </c>
      <c r="T210" s="278" t="e">
        <f>Table_1[[#This Row],[Rain_fall (mm)]]/Table_1[[#This Row],[Factors]]</f>
        <v>#VALUE!</v>
      </c>
      <c r="U210" s="278" t="s">
        <v>562</v>
      </c>
      <c r="V210" s="15"/>
      <c r="W210" s="15"/>
      <c r="X210" s="15"/>
      <c r="Y210" s="15"/>
      <c r="Z210" s="16"/>
    </row>
    <row r="211" spans="1:26" ht="56.25" customHeight="1" x14ac:dyDescent="0.35">
      <c r="A211" s="10">
        <v>210</v>
      </c>
      <c r="B211" s="26" t="s">
        <v>230</v>
      </c>
      <c r="C211" s="147" t="s">
        <v>262</v>
      </c>
      <c r="D211" s="137" t="s">
        <v>480</v>
      </c>
      <c r="E211" s="25">
        <v>20.997759559226299</v>
      </c>
      <c r="F211" s="25">
        <v>105.804393751454</v>
      </c>
      <c r="G211" s="10">
        <v>7.67</v>
      </c>
      <c r="H211" s="186">
        <v>0.91666666666666663</v>
      </c>
      <c r="I211" s="186">
        <v>0.95833333333333337</v>
      </c>
      <c r="J211" s="27">
        <v>1</v>
      </c>
      <c r="K211" s="26" t="s">
        <v>456</v>
      </c>
      <c r="L211" s="27" t="s">
        <v>275</v>
      </c>
      <c r="M211" s="27" t="s">
        <v>276</v>
      </c>
      <c r="N211" s="26" t="s">
        <v>466</v>
      </c>
      <c r="O211" s="85" t="s">
        <v>277</v>
      </c>
      <c r="Q211" s="269">
        <v>66.959999999999994</v>
      </c>
      <c r="R211" s="213">
        <v>371.41</v>
      </c>
      <c r="S211" s="277">
        <v>34.299999999999997</v>
      </c>
      <c r="T211" s="278" t="e">
        <f>Table_1[[#This Row],[Rain_fall (mm)]]/Table_1[[#This Row],[Factors]]</f>
        <v>#VALUE!</v>
      </c>
      <c r="U211" s="278" t="s">
        <v>562</v>
      </c>
      <c r="V211" s="15"/>
      <c r="W211" s="15"/>
      <c r="X211" s="15"/>
      <c r="Y211" s="15"/>
      <c r="Z211" s="16"/>
    </row>
    <row r="212" spans="1:26" ht="56.25" customHeight="1" x14ac:dyDescent="0.35">
      <c r="A212" s="8">
        <v>211</v>
      </c>
      <c r="B212" s="26" t="s">
        <v>230</v>
      </c>
      <c r="C212" s="147" t="s">
        <v>253</v>
      </c>
      <c r="D212" s="137" t="s">
        <v>480</v>
      </c>
      <c r="E212" s="58">
        <v>20.998183575026498</v>
      </c>
      <c r="F212" s="58">
        <v>105.803833146294</v>
      </c>
      <c r="G212" s="10">
        <v>8.36</v>
      </c>
      <c r="H212" s="186">
        <v>0.91666666666666663</v>
      </c>
      <c r="I212" s="186">
        <v>0.95833333333333337</v>
      </c>
      <c r="J212" s="27">
        <v>1</v>
      </c>
      <c r="K212" s="26" t="s">
        <v>456</v>
      </c>
      <c r="L212" s="27" t="s">
        <v>278</v>
      </c>
      <c r="M212" s="27" t="s">
        <v>276</v>
      </c>
      <c r="N212" s="26" t="s">
        <v>466</v>
      </c>
      <c r="O212" s="85" t="s">
        <v>277</v>
      </c>
      <c r="Q212" s="269">
        <v>66.959999999999994</v>
      </c>
      <c r="R212" s="213">
        <v>393.81</v>
      </c>
      <c r="S212" s="277">
        <v>34.299999999999997</v>
      </c>
      <c r="T212" s="278" t="e">
        <f>Table_1[[#This Row],[Rain_fall (mm)]]/Table_1[[#This Row],[Factors]]</f>
        <v>#VALUE!</v>
      </c>
      <c r="U212" s="278" t="s">
        <v>562</v>
      </c>
      <c r="V212" s="15"/>
      <c r="W212" s="15"/>
      <c r="X212" s="15"/>
      <c r="Y212" s="15"/>
      <c r="Z212" s="16"/>
    </row>
    <row r="213" spans="1:26" ht="56.25" customHeight="1" x14ac:dyDescent="0.35">
      <c r="A213" s="8">
        <v>212</v>
      </c>
      <c r="B213" s="26" t="s">
        <v>230</v>
      </c>
      <c r="C213" s="147" t="s">
        <v>236</v>
      </c>
      <c r="D213" s="137" t="s">
        <v>480</v>
      </c>
      <c r="E213" s="25">
        <v>20.995000000000001</v>
      </c>
      <c r="F213" s="25">
        <v>105.80800000000001</v>
      </c>
      <c r="G213" s="10">
        <v>7.66</v>
      </c>
      <c r="H213" s="186">
        <v>0.91666666666666663</v>
      </c>
      <c r="I213" s="186">
        <v>0.95833333333333337</v>
      </c>
      <c r="J213" s="27">
        <v>1</v>
      </c>
      <c r="K213" s="26" t="s">
        <v>456</v>
      </c>
      <c r="L213" s="27" t="s">
        <v>259</v>
      </c>
      <c r="M213" s="27" t="s">
        <v>276</v>
      </c>
      <c r="N213" s="26" t="s">
        <v>469</v>
      </c>
      <c r="O213" s="85" t="s">
        <v>277</v>
      </c>
      <c r="Q213" s="269">
        <v>66.959999999999994</v>
      </c>
      <c r="R213" s="213">
        <v>534.91999999999996</v>
      </c>
      <c r="S213" s="277">
        <v>34.299999999999997</v>
      </c>
      <c r="T213" s="278" t="e">
        <f>Table_1[[#This Row],[Rain_fall (mm)]]/Table_1[[#This Row],[Factors]]</f>
        <v>#VALUE!</v>
      </c>
      <c r="U213" s="278" t="s">
        <v>562</v>
      </c>
      <c r="V213" s="15"/>
      <c r="W213" s="15"/>
      <c r="X213" s="15"/>
      <c r="Y213" s="15"/>
      <c r="Z213" s="16"/>
    </row>
    <row r="214" spans="1:26" ht="56.25" customHeight="1" x14ac:dyDescent="0.35">
      <c r="A214" s="10">
        <v>213</v>
      </c>
      <c r="B214" s="26" t="s">
        <v>230</v>
      </c>
      <c r="C214" s="147" t="s">
        <v>233</v>
      </c>
      <c r="D214" s="137" t="s">
        <v>480</v>
      </c>
      <c r="E214" s="25">
        <v>21.003581468501999</v>
      </c>
      <c r="F214" s="25">
        <v>105.81103702540101</v>
      </c>
      <c r="G214" s="10">
        <v>7.9</v>
      </c>
      <c r="H214" s="186">
        <v>0.91666666666666663</v>
      </c>
      <c r="I214" s="186">
        <v>0.95833333333333337</v>
      </c>
      <c r="J214" s="27">
        <v>1</v>
      </c>
      <c r="K214" s="26" t="s">
        <v>456</v>
      </c>
      <c r="L214" s="27" t="s">
        <v>279</v>
      </c>
      <c r="M214" s="27" t="s">
        <v>276</v>
      </c>
      <c r="N214" s="26" t="s">
        <v>466</v>
      </c>
      <c r="O214" s="85" t="s">
        <v>277</v>
      </c>
      <c r="Q214" s="269">
        <v>66.959999999999994</v>
      </c>
      <c r="R214" s="213">
        <v>126.05</v>
      </c>
      <c r="S214" s="277">
        <v>34.299999999999997</v>
      </c>
      <c r="T214" s="278" t="e">
        <f>Table_1[[#This Row],[Rain_fall (mm)]]/Table_1[[#This Row],[Factors]]</f>
        <v>#VALUE!</v>
      </c>
      <c r="U214" s="278" t="s">
        <v>562</v>
      </c>
      <c r="V214" s="15"/>
      <c r="W214" s="15"/>
      <c r="X214" s="15"/>
      <c r="Y214" s="15"/>
      <c r="Z214" s="16"/>
    </row>
    <row r="215" spans="1:26" ht="56.25" customHeight="1" x14ac:dyDescent="0.35">
      <c r="A215" s="8">
        <v>214</v>
      </c>
      <c r="B215" s="26" t="s">
        <v>230</v>
      </c>
      <c r="C215" s="147" t="s">
        <v>238</v>
      </c>
      <c r="D215" s="137" t="s">
        <v>482</v>
      </c>
      <c r="E215" s="25">
        <v>20.9874478896018</v>
      </c>
      <c r="F215" s="25">
        <v>105.81864642151299</v>
      </c>
      <c r="G215" s="10">
        <v>9.4600000000000009</v>
      </c>
      <c r="H215" s="186">
        <v>0.83333333333333337</v>
      </c>
      <c r="I215" s="186">
        <v>0.91666666666666663</v>
      </c>
      <c r="J215" s="27">
        <v>2</v>
      </c>
      <c r="K215" s="26" t="s">
        <v>456</v>
      </c>
      <c r="L215" s="27" t="s">
        <v>279</v>
      </c>
      <c r="M215" s="27" t="s">
        <v>259</v>
      </c>
      <c r="N215" s="26" t="s">
        <v>466</v>
      </c>
      <c r="O215" s="85" t="s">
        <v>248</v>
      </c>
      <c r="Q215" s="269">
        <v>41.29</v>
      </c>
      <c r="R215" s="213">
        <v>38.85</v>
      </c>
      <c r="S215" s="277">
        <v>20.9</v>
      </c>
      <c r="T215" s="278" t="e">
        <f>Table_1[[#This Row],[Rain_fall (mm)]]/Table_1[[#This Row],[Factors]]</f>
        <v>#VALUE!</v>
      </c>
      <c r="U215" s="278" t="s">
        <v>562</v>
      </c>
      <c r="V215" s="15"/>
      <c r="W215" s="15"/>
      <c r="X215" s="15"/>
      <c r="Y215" s="15"/>
      <c r="Z215" s="16"/>
    </row>
    <row r="216" spans="1:26" ht="56.25" customHeight="1" x14ac:dyDescent="0.35">
      <c r="A216" s="8">
        <v>215</v>
      </c>
      <c r="B216" s="26" t="s">
        <v>230</v>
      </c>
      <c r="C216" s="147" t="s">
        <v>280</v>
      </c>
      <c r="D216" s="137" t="s">
        <v>483</v>
      </c>
      <c r="E216" s="25" t="s">
        <v>281</v>
      </c>
      <c r="F216" s="25" t="s">
        <v>282</v>
      </c>
      <c r="G216" s="10">
        <v>7.66</v>
      </c>
      <c r="H216" s="186">
        <v>0.70833333333333337</v>
      </c>
      <c r="I216" s="186">
        <v>0.72916666666666663</v>
      </c>
      <c r="J216" s="27">
        <v>0.5</v>
      </c>
      <c r="K216" s="26" t="s">
        <v>456</v>
      </c>
      <c r="L216" s="27" t="s">
        <v>234</v>
      </c>
      <c r="M216" s="27" t="s">
        <v>259</v>
      </c>
      <c r="N216" s="26" t="s">
        <v>466</v>
      </c>
      <c r="O216" s="85" t="s">
        <v>283</v>
      </c>
      <c r="Q216" s="269">
        <v>6.39</v>
      </c>
      <c r="R216" s="213">
        <v>534.91999999999996</v>
      </c>
      <c r="S216" s="277">
        <v>4.5</v>
      </c>
      <c r="T216" s="278" t="e">
        <f>Table_1[[#This Row],[Rain_fall (mm)]]/Table_1[[#This Row],[Factors]]</f>
        <v>#VALUE!</v>
      </c>
      <c r="U216" s="278" t="s">
        <v>562</v>
      </c>
      <c r="V216" s="15"/>
      <c r="W216" s="15"/>
      <c r="X216" s="15"/>
      <c r="Y216" s="15"/>
      <c r="Z216" s="16"/>
    </row>
    <row r="217" spans="1:26" ht="56.25" customHeight="1" x14ac:dyDescent="0.35">
      <c r="A217" s="10">
        <v>216</v>
      </c>
      <c r="B217" s="26" t="s">
        <v>230</v>
      </c>
      <c r="C217" s="147" t="s">
        <v>284</v>
      </c>
      <c r="D217" s="137" t="s">
        <v>484</v>
      </c>
      <c r="E217" s="25" t="s">
        <v>285</v>
      </c>
      <c r="F217" s="25" t="s">
        <v>286</v>
      </c>
      <c r="G217" s="26">
        <v>6.83</v>
      </c>
      <c r="H217" s="186">
        <v>0.95833333333333337</v>
      </c>
      <c r="I217" s="186">
        <v>0.33333333333333331</v>
      </c>
      <c r="J217" s="27">
        <v>9</v>
      </c>
      <c r="K217" s="26" t="s">
        <v>456</v>
      </c>
      <c r="L217" s="27" t="s">
        <v>259</v>
      </c>
      <c r="M217" s="27" t="s">
        <v>269</v>
      </c>
      <c r="N217" s="26" t="s">
        <v>472</v>
      </c>
      <c r="O217" s="85" t="s">
        <v>287</v>
      </c>
      <c r="Q217" s="269">
        <v>24.22</v>
      </c>
      <c r="R217" s="213">
        <v>335.78</v>
      </c>
      <c r="S217" s="277">
        <v>19.2</v>
      </c>
      <c r="T217" s="278" t="e">
        <f>Table_1[[#This Row],[Rain_fall (mm)]]/Table_1[[#This Row],[Factors]]</f>
        <v>#VALUE!</v>
      </c>
      <c r="U217" s="278" t="s">
        <v>562</v>
      </c>
      <c r="V217" s="15"/>
      <c r="W217" s="15"/>
      <c r="X217" s="15"/>
      <c r="Y217" s="15"/>
      <c r="Z217" s="16"/>
    </row>
    <row r="218" spans="1:26" ht="56.25" customHeight="1" x14ac:dyDescent="0.35">
      <c r="A218" s="8">
        <v>217</v>
      </c>
      <c r="B218" s="86" t="s">
        <v>288</v>
      </c>
      <c r="C218" s="163" t="s">
        <v>289</v>
      </c>
      <c r="D218" s="137">
        <v>44065</v>
      </c>
      <c r="E218" s="87">
        <v>21.0847803762537</v>
      </c>
      <c r="F218" s="87">
        <v>105.78559347491201</v>
      </c>
      <c r="G218" s="76">
        <v>11.75</v>
      </c>
      <c r="H218" s="183">
        <v>0.25</v>
      </c>
      <c r="I218" s="183">
        <v>0.45833333333333331</v>
      </c>
      <c r="J218" s="176">
        <v>5</v>
      </c>
      <c r="K218" s="76" t="s">
        <v>456</v>
      </c>
      <c r="L218" s="88">
        <v>30</v>
      </c>
      <c r="M218" s="88">
        <v>40</v>
      </c>
      <c r="N218" s="77" t="s">
        <v>466</v>
      </c>
      <c r="O218" s="89" t="s">
        <v>290</v>
      </c>
      <c r="Q218" s="269">
        <v>3.43</v>
      </c>
      <c r="R218" s="213">
        <v>679.4</v>
      </c>
      <c r="S218" s="277">
        <v>6.2</v>
      </c>
      <c r="T218" s="278" t="e">
        <f>Table_1[[#This Row],[Rain_fall (mm)]]/Table_1[[#This Row],[Factors]]</f>
        <v>#VALUE!</v>
      </c>
      <c r="U218" s="278" t="s">
        <v>562</v>
      </c>
      <c r="V218" s="15"/>
      <c r="W218" s="15"/>
      <c r="X218" s="15"/>
      <c r="Y218" s="15"/>
      <c r="Z218" s="16"/>
    </row>
    <row r="219" spans="1:26" ht="56.25" customHeight="1" x14ac:dyDescent="0.35">
      <c r="A219" s="8">
        <v>218</v>
      </c>
      <c r="B219" s="62" t="s">
        <v>288</v>
      </c>
      <c r="C219" s="164" t="s">
        <v>291</v>
      </c>
      <c r="D219" s="137">
        <v>44710</v>
      </c>
      <c r="E219" s="25">
        <v>21.051741232820799</v>
      </c>
      <c r="F219" s="25">
        <v>105.783748727728</v>
      </c>
      <c r="G219" s="10">
        <v>8.76</v>
      </c>
      <c r="H219" s="180">
        <v>0.5625</v>
      </c>
      <c r="I219" s="180">
        <v>0.64583333333333337</v>
      </c>
      <c r="J219" s="20">
        <v>3</v>
      </c>
      <c r="K219" s="8" t="s">
        <v>456</v>
      </c>
      <c r="L219" s="27">
        <v>20</v>
      </c>
      <c r="M219" s="27">
        <v>100</v>
      </c>
      <c r="N219" s="55" t="s">
        <v>466</v>
      </c>
      <c r="O219" s="53" t="s">
        <v>292</v>
      </c>
      <c r="Q219" s="269">
        <v>7.99</v>
      </c>
      <c r="R219" s="213">
        <v>426.04</v>
      </c>
      <c r="S219" s="277">
        <v>6.8</v>
      </c>
      <c r="T219" s="278" t="e">
        <f>Table_1[[#This Row],[Rain_fall (mm)]]/Table_1[[#This Row],[Factors]]</f>
        <v>#VALUE!</v>
      </c>
      <c r="U219" s="278" t="s">
        <v>562</v>
      </c>
      <c r="V219" s="15"/>
      <c r="W219" s="15"/>
      <c r="X219" s="15"/>
      <c r="Y219" s="15"/>
      <c r="Z219" s="16"/>
    </row>
    <row r="220" spans="1:26" ht="56.25" customHeight="1" x14ac:dyDescent="0.35">
      <c r="A220" s="10">
        <v>219</v>
      </c>
      <c r="B220" s="86" t="s">
        <v>288</v>
      </c>
      <c r="C220" s="165" t="s">
        <v>293</v>
      </c>
      <c r="D220" s="137">
        <v>45527</v>
      </c>
      <c r="E220" s="87">
        <v>21.089327042272501</v>
      </c>
      <c r="F220" s="87">
        <v>105.781124645487</v>
      </c>
      <c r="G220" s="76">
        <v>10.63</v>
      </c>
      <c r="H220" s="183">
        <v>0.95833333333333337</v>
      </c>
      <c r="I220" s="183">
        <v>0.25</v>
      </c>
      <c r="J220" s="176">
        <v>7</v>
      </c>
      <c r="K220" s="76" t="s">
        <v>456</v>
      </c>
      <c r="L220" s="88">
        <v>20</v>
      </c>
      <c r="M220" s="88">
        <v>150</v>
      </c>
      <c r="N220" s="72" t="s">
        <v>469</v>
      </c>
      <c r="O220" s="90" t="s">
        <v>294</v>
      </c>
      <c r="Q220" s="269">
        <v>66.959999999999994</v>
      </c>
      <c r="R220" s="213">
        <v>397.71</v>
      </c>
      <c r="S220" s="277">
        <v>31.3</v>
      </c>
      <c r="T220" s="278" t="e">
        <f>Table_1[[#This Row],[Rain_fall (mm)]]/Table_1[[#This Row],[Factors]]</f>
        <v>#VALUE!</v>
      </c>
      <c r="U220" s="278" t="s">
        <v>562</v>
      </c>
      <c r="V220" s="15"/>
      <c r="W220" s="15"/>
      <c r="X220" s="15"/>
      <c r="Y220" s="15"/>
      <c r="Z220" s="16"/>
    </row>
    <row r="221" spans="1:26" ht="56.25" customHeight="1" x14ac:dyDescent="0.35">
      <c r="A221" s="8">
        <v>220</v>
      </c>
      <c r="B221" s="62" t="s">
        <v>288</v>
      </c>
      <c r="C221" s="147" t="s">
        <v>295</v>
      </c>
      <c r="D221" s="137">
        <v>45543</v>
      </c>
      <c r="E221" s="25">
        <v>21.0854525388472</v>
      </c>
      <c r="F221" s="25">
        <v>105.783695375976</v>
      </c>
      <c r="G221" s="26">
        <v>13.58</v>
      </c>
      <c r="H221" s="180">
        <v>0.79166666666666663</v>
      </c>
      <c r="I221" s="180">
        <v>0.91666666666666663</v>
      </c>
      <c r="J221" s="20">
        <v>3</v>
      </c>
      <c r="K221" s="8" t="s">
        <v>456</v>
      </c>
      <c r="L221" s="27">
        <v>15</v>
      </c>
      <c r="M221" s="27">
        <v>130</v>
      </c>
      <c r="N221" s="55" t="s">
        <v>466</v>
      </c>
      <c r="O221" s="91" t="s">
        <v>296</v>
      </c>
      <c r="Q221" s="269">
        <v>64.849999999999994</v>
      </c>
      <c r="R221" s="213">
        <v>703.36</v>
      </c>
      <c r="S221" s="277">
        <v>23.9</v>
      </c>
      <c r="T221" s="278" t="e">
        <f>Table_1[[#This Row],[Rain_fall (mm)]]/Table_1[[#This Row],[Factors]]</f>
        <v>#VALUE!</v>
      </c>
      <c r="U221" s="278" t="s">
        <v>562</v>
      </c>
      <c r="V221" s="15"/>
      <c r="W221" s="15"/>
      <c r="X221" s="15"/>
      <c r="Y221" s="15"/>
      <c r="Z221" s="16"/>
    </row>
    <row r="222" spans="1:26" ht="56.25" customHeight="1" x14ac:dyDescent="0.35">
      <c r="A222" s="8">
        <v>221</v>
      </c>
      <c r="B222" s="86" t="s">
        <v>288</v>
      </c>
      <c r="C222" s="166" t="s">
        <v>297</v>
      </c>
      <c r="D222" s="137">
        <v>45900</v>
      </c>
      <c r="E222" s="87">
        <v>21.065406545787599</v>
      </c>
      <c r="F222" s="87">
        <v>105.77943590174399</v>
      </c>
      <c r="G222" s="76">
        <v>7.86</v>
      </c>
      <c r="H222" s="183">
        <v>0.79166666666666663</v>
      </c>
      <c r="I222" s="183">
        <v>0.875</v>
      </c>
      <c r="J222" s="176">
        <v>2</v>
      </c>
      <c r="K222" s="76" t="s">
        <v>456</v>
      </c>
      <c r="L222" s="88">
        <v>30</v>
      </c>
      <c r="M222" s="88">
        <v>140</v>
      </c>
      <c r="N222" s="77" t="s">
        <v>466</v>
      </c>
      <c r="O222" s="92" t="s">
        <v>298</v>
      </c>
      <c r="Q222" s="269">
        <v>10.119999999999999</v>
      </c>
      <c r="R222" s="213">
        <v>572.19000000000005</v>
      </c>
      <c r="S222" s="277">
        <v>23.8</v>
      </c>
      <c r="T222" s="278" t="e">
        <f>Table_1[[#This Row],[Rain_fall (mm)]]/Table_1[[#This Row],[Factors]]</f>
        <v>#VALUE!</v>
      </c>
      <c r="U222" s="278" t="s">
        <v>562</v>
      </c>
      <c r="V222" s="15"/>
      <c r="W222" s="15"/>
      <c r="X222" s="15"/>
      <c r="Y222" s="15"/>
      <c r="Z222" s="16"/>
    </row>
    <row r="223" spans="1:26" ht="56.25" customHeight="1" x14ac:dyDescent="0.35">
      <c r="A223" s="10">
        <v>222</v>
      </c>
      <c r="B223" s="62" t="s">
        <v>288</v>
      </c>
      <c r="C223" s="161" t="s">
        <v>32</v>
      </c>
      <c r="D223" s="137">
        <v>45937</v>
      </c>
      <c r="E223" s="29">
        <v>21.054721425098901</v>
      </c>
      <c r="F223" s="29">
        <v>105.786532362979</v>
      </c>
      <c r="G223" s="8">
        <v>10.43</v>
      </c>
      <c r="H223" s="182">
        <v>1</v>
      </c>
      <c r="I223" s="182">
        <v>0.25</v>
      </c>
      <c r="J223" s="12">
        <v>6</v>
      </c>
      <c r="K223" s="8" t="s">
        <v>456</v>
      </c>
      <c r="L223" s="64">
        <v>50</v>
      </c>
      <c r="M223" s="64">
        <v>250</v>
      </c>
      <c r="N223" s="61" t="s">
        <v>469</v>
      </c>
      <c r="O223" s="93" t="s">
        <v>55</v>
      </c>
      <c r="Q223" s="269">
        <v>157.38999999999999</v>
      </c>
      <c r="R223" s="213">
        <v>180.77</v>
      </c>
      <c r="S223" s="277">
        <v>133.80000000000001</v>
      </c>
      <c r="T223" s="278" t="e">
        <f>Table_1[[#This Row],[Rain_fall (mm)]]/Table_1[[#This Row],[Factors]]</f>
        <v>#VALUE!</v>
      </c>
      <c r="U223" s="278" t="s">
        <v>562</v>
      </c>
      <c r="V223" s="15"/>
      <c r="W223" s="15"/>
      <c r="X223" s="15"/>
      <c r="Y223" s="15"/>
      <c r="Z223" s="16"/>
    </row>
    <row r="224" spans="1:26" ht="56.25" customHeight="1" x14ac:dyDescent="0.35">
      <c r="A224" s="8">
        <v>223</v>
      </c>
      <c r="B224" s="86" t="s">
        <v>288</v>
      </c>
      <c r="C224" s="167" t="s">
        <v>299</v>
      </c>
      <c r="D224" s="137">
        <v>45937</v>
      </c>
      <c r="E224" s="87">
        <v>21.069104794045501</v>
      </c>
      <c r="F224" s="87">
        <v>105.802416949335</v>
      </c>
      <c r="G224" s="76">
        <v>8.83</v>
      </c>
      <c r="H224" s="183">
        <v>1</v>
      </c>
      <c r="I224" s="183">
        <v>0.25</v>
      </c>
      <c r="J224" s="176">
        <v>6</v>
      </c>
      <c r="K224" s="76" t="s">
        <v>456</v>
      </c>
      <c r="L224" s="88">
        <v>50</v>
      </c>
      <c r="M224" s="88">
        <v>250</v>
      </c>
      <c r="N224" s="94" t="s">
        <v>475</v>
      </c>
      <c r="O224" s="95" t="s">
        <v>55</v>
      </c>
      <c r="Q224" s="269">
        <v>157.38999999999999</v>
      </c>
      <c r="R224" s="213">
        <v>5.46</v>
      </c>
      <c r="S224" s="277">
        <v>133.80000000000001</v>
      </c>
      <c r="T224" s="278" t="e">
        <f>Table_1[[#This Row],[Rain_fall (mm)]]/Table_1[[#This Row],[Factors]]</f>
        <v>#VALUE!</v>
      </c>
      <c r="U224" s="278" t="s">
        <v>562</v>
      </c>
      <c r="V224" s="15"/>
      <c r="W224" s="15"/>
      <c r="X224" s="15"/>
      <c r="Y224" s="15"/>
      <c r="Z224" s="16"/>
    </row>
    <row r="225" spans="1:26" ht="56.25" customHeight="1" x14ac:dyDescent="0.35">
      <c r="A225" s="8">
        <v>224</v>
      </c>
      <c r="B225" s="62" t="s">
        <v>288</v>
      </c>
      <c r="C225" s="161" t="s">
        <v>300</v>
      </c>
      <c r="D225" s="137">
        <v>45545</v>
      </c>
      <c r="E225" s="96">
        <v>21.08536419</v>
      </c>
      <c r="F225" s="97">
        <v>105.783644</v>
      </c>
      <c r="G225" s="62">
        <v>8.7200000000000006</v>
      </c>
      <c r="H225" s="64">
        <v>0</v>
      </c>
      <c r="I225" s="64">
        <v>0</v>
      </c>
      <c r="J225" s="64">
        <v>0</v>
      </c>
      <c r="K225" s="8" t="s">
        <v>456</v>
      </c>
      <c r="L225" s="64">
        <v>80</v>
      </c>
      <c r="M225" s="62">
        <v>200</v>
      </c>
      <c r="N225" s="98" t="s">
        <v>475</v>
      </c>
      <c r="O225" s="99" t="s">
        <v>301</v>
      </c>
      <c r="Q225" s="269">
        <v>69.239999999999995</v>
      </c>
      <c r="R225" s="213">
        <v>695.05</v>
      </c>
      <c r="S225" s="277">
        <v>27.1</v>
      </c>
      <c r="T225" s="278" t="e">
        <f>Table_1[[#This Row],[Rain_fall (mm)]]/Table_1[[#This Row],[Factors]]</f>
        <v>#VALUE!</v>
      </c>
      <c r="U225" s="278" t="s">
        <v>562</v>
      </c>
      <c r="V225" s="15"/>
      <c r="W225" s="15"/>
      <c r="X225" s="15"/>
      <c r="Y225" s="15"/>
      <c r="Z225" s="16"/>
    </row>
    <row r="226" spans="1:26" ht="56.25" customHeight="1" x14ac:dyDescent="0.35">
      <c r="A226" s="10">
        <v>225</v>
      </c>
      <c r="B226" s="86" t="s">
        <v>194</v>
      </c>
      <c r="C226" s="167" t="s">
        <v>302</v>
      </c>
      <c r="D226" s="137">
        <v>45551</v>
      </c>
      <c r="E226" s="100">
        <v>21.002249979999998</v>
      </c>
      <c r="F226" s="100">
        <v>105.85081030000001</v>
      </c>
      <c r="G226" s="86">
        <v>9.76</v>
      </c>
      <c r="H226" s="187">
        <v>0.20833333333333334</v>
      </c>
      <c r="I226" s="187">
        <v>0.29166666666666669</v>
      </c>
      <c r="J226" s="88">
        <v>2</v>
      </c>
      <c r="K226" s="76" t="s">
        <v>456</v>
      </c>
      <c r="L226" s="88">
        <v>30</v>
      </c>
      <c r="M226" s="86">
        <v>102</v>
      </c>
      <c r="N226" s="77" t="s">
        <v>466</v>
      </c>
      <c r="O226" s="89" t="s">
        <v>303</v>
      </c>
      <c r="Q226" s="269">
        <v>5.46</v>
      </c>
      <c r="R226" s="213">
        <v>382.13</v>
      </c>
      <c r="S226" s="277">
        <v>23.3</v>
      </c>
      <c r="T226" s="278" t="e">
        <f>Table_1[[#This Row],[Rain_fall (mm)]]/Table_1[[#This Row],[Factors]]</f>
        <v>#VALUE!</v>
      </c>
      <c r="U226" s="278" t="s">
        <v>562</v>
      </c>
      <c r="V226" s="15"/>
      <c r="W226" s="15"/>
      <c r="X226" s="15"/>
      <c r="Y226" s="15"/>
      <c r="Z226" s="16"/>
    </row>
    <row r="227" spans="1:26" ht="56.25" customHeight="1" x14ac:dyDescent="0.35">
      <c r="A227" s="8">
        <v>226</v>
      </c>
      <c r="B227" s="26" t="s">
        <v>194</v>
      </c>
      <c r="C227" s="147" t="s">
        <v>304</v>
      </c>
      <c r="D227" s="137">
        <v>45551</v>
      </c>
      <c r="E227" s="42">
        <v>21.045741159999999</v>
      </c>
      <c r="F227" s="42">
        <v>105.8400146</v>
      </c>
      <c r="G227" s="26">
        <v>12.17</v>
      </c>
      <c r="H227" s="187">
        <v>0.20833333333333334</v>
      </c>
      <c r="I227" s="187">
        <v>0.29166666666666669</v>
      </c>
      <c r="J227" s="88">
        <v>2</v>
      </c>
      <c r="K227" s="8" t="s">
        <v>456</v>
      </c>
      <c r="L227" s="27">
        <v>40</v>
      </c>
      <c r="M227" s="26">
        <v>102</v>
      </c>
      <c r="N227" s="55" t="s">
        <v>466</v>
      </c>
      <c r="O227" s="43" t="s">
        <v>303</v>
      </c>
      <c r="Q227" s="269">
        <v>5.46</v>
      </c>
      <c r="R227" s="213">
        <v>0.59</v>
      </c>
      <c r="S227" s="277">
        <v>9.3000000000000007</v>
      </c>
      <c r="T227" s="278" t="e">
        <f>Table_1[[#This Row],[Rain_fall (mm)]]/Table_1[[#This Row],[Factors]]</f>
        <v>#VALUE!</v>
      </c>
      <c r="U227" s="278" t="s">
        <v>562</v>
      </c>
      <c r="V227" s="15"/>
      <c r="W227" s="15"/>
      <c r="X227" s="15"/>
      <c r="Y227" s="15"/>
      <c r="Z227" s="16"/>
    </row>
    <row r="228" spans="1:26" ht="56.25" customHeight="1" x14ac:dyDescent="0.35">
      <c r="A228" s="8">
        <v>227</v>
      </c>
      <c r="B228" s="26" t="s">
        <v>194</v>
      </c>
      <c r="C228" s="147" t="s">
        <v>305</v>
      </c>
      <c r="D228" s="137">
        <v>45551</v>
      </c>
      <c r="E228" s="42">
        <v>21.035771929999999</v>
      </c>
      <c r="F228" s="42">
        <v>105.8237432</v>
      </c>
      <c r="G228" s="26">
        <v>11.08</v>
      </c>
      <c r="H228" s="187">
        <v>0.20833333333333334</v>
      </c>
      <c r="I228" s="187">
        <v>0.29166666666666669</v>
      </c>
      <c r="J228" s="88">
        <v>2</v>
      </c>
      <c r="K228" s="8" t="s">
        <v>456</v>
      </c>
      <c r="L228" s="27">
        <v>50</v>
      </c>
      <c r="M228" s="26">
        <v>102</v>
      </c>
      <c r="N228" s="41" t="s">
        <v>466</v>
      </c>
      <c r="O228" s="43" t="s">
        <v>303</v>
      </c>
      <c r="Q228" s="269">
        <v>5.46</v>
      </c>
      <c r="R228" s="213">
        <v>233.53</v>
      </c>
      <c r="S228" s="277">
        <v>9.3000000000000007</v>
      </c>
      <c r="T228" s="278" t="e">
        <f>Table_1[[#This Row],[Rain_fall (mm)]]/Table_1[[#This Row],[Factors]]</f>
        <v>#VALUE!</v>
      </c>
      <c r="U228" s="278" t="s">
        <v>562</v>
      </c>
      <c r="V228" s="15"/>
      <c r="W228" s="15"/>
      <c r="X228" s="15"/>
      <c r="Y228" s="15"/>
      <c r="Z228" s="16"/>
    </row>
    <row r="229" spans="1:26" ht="56.25" customHeight="1" x14ac:dyDescent="0.35">
      <c r="A229" s="10">
        <v>228</v>
      </c>
      <c r="B229" s="26" t="s">
        <v>306</v>
      </c>
      <c r="C229" s="147" t="s">
        <v>307</v>
      </c>
      <c r="D229" s="137">
        <v>45551</v>
      </c>
      <c r="E229" s="101">
        <v>20.943137061807001</v>
      </c>
      <c r="F229" s="101">
        <v>105.85473846726001</v>
      </c>
      <c r="G229" s="26">
        <v>8.3000000000000007</v>
      </c>
      <c r="H229" s="197">
        <v>8.3333333333333329E-2</v>
      </c>
      <c r="I229" s="186">
        <v>0.29166666666666669</v>
      </c>
      <c r="J229" s="27">
        <v>5</v>
      </c>
      <c r="K229" s="8" t="s">
        <v>456</v>
      </c>
      <c r="L229" s="27">
        <v>30</v>
      </c>
      <c r="M229" s="26">
        <v>113</v>
      </c>
      <c r="N229" s="55" t="s">
        <v>466</v>
      </c>
      <c r="O229" s="43" t="s">
        <v>308</v>
      </c>
      <c r="Q229" s="269">
        <v>5.46</v>
      </c>
      <c r="R229" s="213">
        <v>472.8</v>
      </c>
      <c r="S229" s="277">
        <v>17.899999999999999</v>
      </c>
      <c r="T229" s="278" t="e">
        <f>Table_1[[#This Row],[Rain_fall (mm)]]/Table_1[[#This Row],[Factors]]</f>
        <v>#VALUE!</v>
      </c>
      <c r="U229" s="278" t="s">
        <v>562</v>
      </c>
      <c r="V229" s="15"/>
      <c r="W229" s="15"/>
      <c r="X229" s="15"/>
      <c r="Y229" s="15"/>
      <c r="Z229" s="16"/>
    </row>
    <row r="230" spans="1:26" ht="56.25" customHeight="1" x14ac:dyDescent="0.35">
      <c r="A230" s="8">
        <v>229</v>
      </c>
      <c r="B230" s="26" t="s">
        <v>309</v>
      </c>
      <c r="C230" s="147" t="s">
        <v>310</v>
      </c>
      <c r="D230" s="137">
        <v>45546</v>
      </c>
      <c r="E230" s="42">
        <v>21.066960999999999</v>
      </c>
      <c r="F230" s="42">
        <v>105.832454</v>
      </c>
      <c r="G230" s="26">
        <v>14.1</v>
      </c>
      <c r="H230" s="27">
        <v>0</v>
      </c>
      <c r="I230" s="27">
        <v>0</v>
      </c>
      <c r="J230" s="27">
        <v>0</v>
      </c>
      <c r="K230" s="8" t="s">
        <v>462</v>
      </c>
      <c r="L230" s="27">
        <v>120</v>
      </c>
      <c r="M230" s="26"/>
      <c r="N230" s="41" t="s">
        <v>475</v>
      </c>
      <c r="O230" s="43" t="s">
        <v>311</v>
      </c>
      <c r="Q230" s="269">
        <v>51.94</v>
      </c>
      <c r="R230" s="213">
        <v>171.5</v>
      </c>
      <c r="S230" s="277">
        <v>75.5</v>
      </c>
      <c r="T230" s="278" t="e">
        <f>Table_1[[#This Row],[Rain_fall (mm)]]/Table_1[[#This Row],[Factors]]</f>
        <v>#VALUE!</v>
      </c>
      <c r="U230" s="278" t="s">
        <v>562</v>
      </c>
      <c r="V230" s="15"/>
      <c r="W230" s="15"/>
      <c r="X230" s="15"/>
      <c r="Y230" s="15"/>
      <c r="Z230" s="16"/>
    </row>
    <row r="231" spans="1:26" ht="56.25" customHeight="1" x14ac:dyDescent="0.35">
      <c r="A231" s="8">
        <v>230</v>
      </c>
      <c r="B231" s="26" t="s">
        <v>312</v>
      </c>
      <c r="C231" s="147" t="s">
        <v>313</v>
      </c>
      <c r="D231" s="137">
        <v>45451</v>
      </c>
      <c r="E231" s="42">
        <v>21.046618064066202</v>
      </c>
      <c r="F231" s="42">
        <v>105.87738696865</v>
      </c>
      <c r="G231" s="26">
        <v>7.83</v>
      </c>
      <c r="H231" s="197">
        <v>0.75</v>
      </c>
      <c r="I231" s="186">
        <v>0.85416666666666663</v>
      </c>
      <c r="J231" s="27">
        <v>2.5</v>
      </c>
      <c r="K231" s="8" t="s">
        <v>456</v>
      </c>
      <c r="L231" s="27">
        <v>20</v>
      </c>
      <c r="M231" s="26">
        <v>93</v>
      </c>
      <c r="N231" s="55" t="s">
        <v>466</v>
      </c>
      <c r="O231" s="43" t="s">
        <v>226</v>
      </c>
      <c r="Q231" s="269">
        <v>21.94</v>
      </c>
      <c r="R231" s="213">
        <v>188.16</v>
      </c>
      <c r="S231" s="277">
        <v>56.8</v>
      </c>
      <c r="T231" s="278" t="e">
        <f>Table_1[[#This Row],[Rain_fall (mm)]]/Table_1[[#This Row],[Factors]]</f>
        <v>#VALUE!</v>
      </c>
      <c r="U231" s="278" t="s">
        <v>562</v>
      </c>
      <c r="V231" s="15"/>
      <c r="W231" s="15"/>
      <c r="X231" s="15"/>
      <c r="Y231" s="15"/>
      <c r="Z231" s="16"/>
    </row>
    <row r="232" spans="1:26" ht="56.25" customHeight="1" x14ac:dyDescent="0.35">
      <c r="A232" s="10">
        <v>231</v>
      </c>
      <c r="B232" s="86" t="s">
        <v>314</v>
      </c>
      <c r="C232" s="167" t="s">
        <v>315</v>
      </c>
      <c r="D232" s="139">
        <v>45526</v>
      </c>
      <c r="E232" s="102">
        <v>20.996827010927301</v>
      </c>
      <c r="F232" s="102">
        <v>105.87397952632</v>
      </c>
      <c r="G232" s="86">
        <v>7.06</v>
      </c>
      <c r="H232" s="187">
        <v>0.91666666666666663</v>
      </c>
      <c r="I232" s="187">
        <v>4.1666666666666664E-2</v>
      </c>
      <c r="J232" s="88">
        <v>3</v>
      </c>
      <c r="K232" s="76" t="s">
        <v>456</v>
      </c>
      <c r="L232" s="88">
        <v>15</v>
      </c>
      <c r="M232" s="86">
        <v>50</v>
      </c>
      <c r="N232" s="77" t="s">
        <v>466</v>
      </c>
      <c r="O232" s="89" t="s">
        <v>87</v>
      </c>
      <c r="Q232" s="269">
        <v>41.29</v>
      </c>
      <c r="R232" s="213">
        <v>108.34</v>
      </c>
      <c r="S232" s="277">
        <v>20</v>
      </c>
      <c r="T232" s="278" t="e">
        <f>Table_1[[#This Row],[Rain_fall (mm)]]/Table_1[[#This Row],[Factors]]</f>
        <v>#VALUE!</v>
      </c>
      <c r="U232" s="278" t="s">
        <v>562</v>
      </c>
      <c r="V232" s="15"/>
      <c r="W232" s="15"/>
      <c r="X232" s="15"/>
      <c r="Y232" s="15"/>
      <c r="Z232" s="16"/>
    </row>
    <row r="233" spans="1:26" ht="50.25" customHeight="1" x14ac:dyDescent="0.35">
      <c r="A233" s="8">
        <v>232</v>
      </c>
      <c r="B233" s="70" t="s">
        <v>230</v>
      </c>
      <c r="C233" s="168" t="s">
        <v>236</v>
      </c>
      <c r="D233" s="138">
        <v>44710</v>
      </c>
      <c r="E233" s="172">
        <v>20.993895404398899</v>
      </c>
      <c r="F233" s="172">
        <v>105.806647153691</v>
      </c>
      <c r="G233" s="173">
        <v>7.58</v>
      </c>
      <c r="H233" s="199" t="s">
        <v>492</v>
      </c>
      <c r="I233" s="188">
        <v>0.65972222222222221</v>
      </c>
      <c r="J233" s="71">
        <v>3</v>
      </c>
      <c r="K233" s="76" t="s">
        <v>456</v>
      </c>
      <c r="L233" s="71">
        <v>50</v>
      </c>
      <c r="M233" s="103">
        <v>46094</v>
      </c>
      <c r="N233" s="104" t="s">
        <v>469</v>
      </c>
      <c r="O233" s="198" t="s">
        <v>15</v>
      </c>
      <c r="Q233" s="269">
        <v>7.99</v>
      </c>
      <c r="R233" s="213">
        <v>401.79</v>
      </c>
      <c r="S233" s="277">
        <v>13.3</v>
      </c>
      <c r="T233" s="278" t="e">
        <f>Table_1[[#This Row],[Rain_fall (mm)]]/Table_1[[#This Row],[Factors]]</f>
        <v>#VALUE!</v>
      </c>
      <c r="U233" s="278" t="s">
        <v>562</v>
      </c>
      <c r="V233" s="15"/>
      <c r="W233" s="15"/>
      <c r="X233" s="15"/>
      <c r="Y233" s="15"/>
      <c r="Z233" s="16"/>
    </row>
    <row r="234" spans="1:26" ht="45.75" customHeight="1" x14ac:dyDescent="0.35">
      <c r="A234" s="10">
        <v>233</v>
      </c>
      <c r="B234" s="70" t="s">
        <v>230</v>
      </c>
      <c r="C234" s="168" t="s">
        <v>254</v>
      </c>
      <c r="D234" s="138">
        <v>44327</v>
      </c>
      <c r="E234" s="172">
        <v>20.999841386816499</v>
      </c>
      <c r="F234" s="172">
        <v>105.807958992865</v>
      </c>
      <c r="G234" s="173">
        <v>9.7799999999999994</v>
      </c>
      <c r="H234" s="188">
        <v>0.77083333333333337</v>
      </c>
      <c r="I234" s="188">
        <v>0.83333333333333337</v>
      </c>
      <c r="J234" s="71">
        <v>1.5</v>
      </c>
      <c r="K234" s="76" t="s">
        <v>456</v>
      </c>
      <c r="L234" s="71">
        <v>100</v>
      </c>
      <c r="M234" s="71" t="s">
        <v>316</v>
      </c>
      <c r="N234" s="104" t="s">
        <v>475</v>
      </c>
      <c r="O234" s="198" t="s">
        <v>317</v>
      </c>
      <c r="Q234" s="269">
        <v>5.0999999999999996</v>
      </c>
      <c r="R234" s="213">
        <v>545.57000000000005</v>
      </c>
      <c r="S234" s="277">
        <v>0</v>
      </c>
      <c r="T234" s="278" t="e">
        <f>Table_1[[#This Row],[Rain_fall (mm)]]/Table_1[[#This Row],[Factors]]</f>
        <v>#VALUE!</v>
      </c>
      <c r="U234" s="278" t="s">
        <v>562</v>
      </c>
      <c r="V234" s="15"/>
      <c r="W234" s="15"/>
      <c r="X234" s="15"/>
      <c r="Y234" s="15"/>
      <c r="Z234" s="16"/>
    </row>
    <row r="235" spans="1:26" ht="49.5" customHeight="1" x14ac:dyDescent="0.35">
      <c r="A235" s="8">
        <v>234</v>
      </c>
      <c r="B235" s="70" t="s">
        <v>230</v>
      </c>
      <c r="C235" s="168" t="s">
        <v>253</v>
      </c>
      <c r="D235" s="138">
        <v>45054</v>
      </c>
      <c r="E235" s="172">
        <v>20.998213624082599</v>
      </c>
      <c r="F235" s="172">
        <v>105.803522010058</v>
      </c>
      <c r="G235" s="173">
        <v>8.65</v>
      </c>
      <c r="H235" s="188">
        <v>0.41666666666666669</v>
      </c>
      <c r="I235" s="188">
        <v>0.625</v>
      </c>
      <c r="J235" s="71">
        <v>5</v>
      </c>
      <c r="K235" s="76" t="s">
        <v>456</v>
      </c>
      <c r="L235" s="71">
        <v>40</v>
      </c>
      <c r="M235" s="103">
        <v>46184</v>
      </c>
      <c r="N235" s="104" t="s">
        <v>469</v>
      </c>
      <c r="O235" s="198" t="s">
        <v>318</v>
      </c>
      <c r="Q235" s="269">
        <v>38.06</v>
      </c>
      <c r="R235" s="213">
        <v>389.23</v>
      </c>
      <c r="S235" s="277">
        <v>11.6</v>
      </c>
      <c r="T235" s="278" t="e">
        <f>Table_1[[#This Row],[Rain_fall (mm)]]/Table_1[[#This Row],[Factors]]</f>
        <v>#VALUE!</v>
      </c>
      <c r="U235" s="278" t="s">
        <v>562</v>
      </c>
      <c r="V235" s="15"/>
      <c r="W235" s="15"/>
      <c r="X235" s="15"/>
      <c r="Y235" s="15"/>
      <c r="Z235" s="16"/>
    </row>
    <row r="236" spans="1:26" ht="46.5" customHeight="1" x14ac:dyDescent="0.35">
      <c r="A236" s="10">
        <v>235</v>
      </c>
      <c r="B236" s="70" t="s">
        <v>230</v>
      </c>
      <c r="C236" s="168" t="s">
        <v>319</v>
      </c>
      <c r="D236" s="138">
        <v>45089</v>
      </c>
      <c r="E236" s="172">
        <v>20.999764721895701</v>
      </c>
      <c r="F236" s="172">
        <v>105.811375511908</v>
      </c>
      <c r="G236" s="173">
        <v>12.01</v>
      </c>
      <c r="H236" s="188">
        <v>0.58333333333333337</v>
      </c>
      <c r="I236" s="188">
        <v>0.625</v>
      </c>
      <c r="J236" s="71">
        <v>1</v>
      </c>
      <c r="K236" s="76" t="s">
        <v>456</v>
      </c>
      <c r="L236" s="71">
        <v>40</v>
      </c>
      <c r="M236" s="103">
        <v>46119</v>
      </c>
      <c r="N236" s="104" t="s">
        <v>469</v>
      </c>
      <c r="O236" s="105" t="s">
        <v>320</v>
      </c>
      <c r="Q236" s="269">
        <v>3.9</v>
      </c>
      <c r="R236" s="213">
        <v>527.24</v>
      </c>
      <c r="S236" s="277">
        <v>7.4</v>
      </c>
      <c r="T236" s="278" t="e">
        <f>Table_1[[#This Row],[Rain_fall (mm)]]/Table_1[[#This Row],[Factors]]</f>
        <v>#VALUE!</v>
      </c>
      <c r="U236" s="278" t="s">
        <v>562</v>
      </c>
      <c r="V236" s="15"/>
      <c r="W236" s="15"/>
      <c r="X236" s="15"/>
      <c r="Y236" s="15"/>
      <c r="Z236" s="16"/>
    </row>
    <row r="237" spans="1:26" ht="50.25" customHeight="1" x14ac:dyDescent="0.35">
      <c r="A237" s="8">
        <v>236</v>
      </c>
      <c r="B237" s="70" t="s">
        <v>230</v>
      </c>
      <c r="C237" s="168" t="s">
        <v>238</v>
      </c>
      <c r="D237" s="138">
        <v>45138</v>
      </c>
      <c r="E237" s="172">
        <v>20.987427855454001</v>
      </c>
      <c r="F237" s="172">
        <v>105.818689336856</v>
      </c>
      <c r="G237" s="173">
        <v>9.6</v>
      </c>
      <c r="H237" s="188">
        <v>0.58333333333333337</v>
      </c>
      <c r="I237" s="188">
        <v>0.64583333333333337</v>
      </c>
      <c r="J237" s="71">
        <v>1.5</v>
      </c>
      <c r="K237" s="76" t="s">
        <v>456</v>
      </c>
      <c r="L237" s="71">
        <v>50</v>
      </c>
      <c r="M237" s="103">
        <v>46041</v>
      </c>
      <c r="N237" s="104" t="s">
        <v>469</v>
      </c>
      <c r="O237" s="198" t="s">
        <v>321</v>
      </c>
      <c r="Q237" s="269">
        <v>17.059999999999999</v>
      </c>
      <c r="R237" s="213">
        <v>42.4</v>
      </c>
      <c r="S237" s="277">
        <v>19.100000000000001</v>
      </c>
      <c r="T237" s="278" t="e">
        <f>Table_1[[#This Row],[Rain_fall (mm)]]/Table_1[[#This Row],[Factors]]</f>
        <v>#VALUE!</v>
      </c>
      <c r="U237" s="278" t="s">
        <v>562</v>
      </c>
      <c r="V237" s="15"/>
      <c r="W237" s="15"/>
      <c r="X237" s="15"/>
      <c r="Y237" s="15"/>
      <c r="Z237" s="16"/>
    </row>
    <row r="238" spans="1:26" ht="49.5" customHeight="1" x14ac:dyDescent="0.35">
      <c r="A238" s="10">
        <v>237</v>
      </c>
      <c r="B238" s="70" t="s">
        <v>230</v>
      </c>
      <c r="C238" s="168" t="s">
        <v>240</v>
      </c>
      <c r="D238" s="138">
        <v>45089</v>
      </c>
      <c r="E238" s="172">
        <v>20.9990905576263</v>
      </c>
      <c r="F238" s="172">
        <v>105.82194428492301</v>
      </c>
      <c r="G238" s="173">
        <v>13.05</v>
      </c>
      <c r="H238" s="188">
        <v>0.48958333333333331</v>
      </c>
      <c r="I238" s="188">
        <v>0.53125</v>
      </c>
      <c r="J238" s="71">
        <v>1</v>
      </c>
      <c r="K238" s="76" t="s">
        <v>456</v>
      </c>
      <c r="L238" s="71">
        <v>60</v>
      </c>
      <c r="M238" s="103">
        <v>46119</v>
      </c>
      <c r="N238" s="104" t="s">
        <v>472</v>
      </c>
      <c r="O238" s="198" t="s">
        <v>322</v>
      </c>
      <c r="Q238" s="269">
        <v>3.9</v>
      </c>
      <c r="R238" s="213">
        <v>372.31</v>
      </c>
      <c r="S238" s="277">
        <v>7.4</v>
      </c>
      <c r="T238" s="278" t="e">
        <f>Table_1[[#This Row],[Rain_fall (mm)]]/Table_1[[#This Row],[Factors]]</f>
        <v>#VALUE!</v>
      </c>
      <c r="U238" s="278" t="s">
        <v>562</v>
      </c>
      <c r="V238" s="15"/>
      <c r="W238" s="15"/>
      <c r="X238" s="15"/>
      <c r="Y238" s="15"/>
      <c r="Z238" s="16"/>
    </row>
    <row r="239" spans="1:26" ht="52.5" customHeight="1" x14ac:dyDescent="0.35">
      <c r="A239" s="8">
        <v>238</v>
      </c>
      <c r="B239" s="70" t="s">
        <v>230</v>
      </c>
      <c r="C239" s="168" t="s">
        <v>257</v>
      </c>
      <c r="D239" s="138">
        <v>45937</v>
      </c>
      <c r="E239" s="172">
        <v>20.9986389051743</v>
      </c>
      <c r="F239" s="172">
        <v>105.79747612355099</v>
      </c>
      <c r="G239" s="173">
        <v>10</v>
      </c>
      <c r="H239" s="188">
        <v>1.0069444444444444</v>
      </c>
      <c r="I239" s="188">
        <v>0.33333333333333331</v>
      </c>
      <c r="J239" s="71">
        <v>7.9</v>
      </c>
      <c r="K239" s="76" t="s">
        <v>456</v>
      </c>
      <c r="L239" s="71">
        <v>20</v>
      </c>
      <c r="M239" s="71" t="s">
        <v>323</v>
      </c>
      <c r="N239" s="104" t="s">
        <v>469</v>
      </c>
      <c r="O239" s="198" t="s">
        <v>324</v>
      </c>
      <c r="Q239" s="269">
        <v>157.38999999999999</v>
      </c>
      <c r="R239" s="213">
        <v>364.33</v>
      </c>
      <c r="S239" s="277">
        <v>119.4</v>
      </c>
      <c r="T239" s="278" t="e">
        <f>Table_1[[#This Row],[Rain_fall (mm)]]/Table_1[[#This Row],[Factors]]</f>
        <v>#VALUE!</v>
      </c>
      <c r="U239" s="278" t="s">
        <v>562</v>
      </c>
      <c r="V239" s="15"/>
      <c r="W239" s="15"/>
      <c r="X239" s="15"/>
      <c r="Y239" s="15"/>
      <c r="Z239" s="16"/>
    </row>
    <row r="240" spans="1:26" ht="47.25" customHeight="1" x14ac:dyDescent="0.35">
      <c r="A240" s="10">
        <v>239</v>
      </c>
      <c r="B240" s="70" t="s">
        <v>230</v>
      </c>
      <c r="C240" s="168" t="s">
        <v>325</v>
      </c>
      <c r="D240" s="138">
        <v>45937</v>
      </c>
      <c r="E240" s="172">
        <v>20.9912218656298</v>
      </c>
      <c r="F240" s="172">
        <v>105.839419554236</v>
      </c>
      <c r="G240" s="173">
        <v>10.92</v>
      </c>
      <c r="H240" s="188">
        <v>1.0069444444444444</v>
      </c>
      <c r="I240" s="188">
        <v>0.33333333333333331</v>
      </c>
      <c r="J240" s="71">
        <v>7.9</v>
      </c>
      <c r="K240" s="76" t="s">
        <v>456</v>
      </c>
      <c r="L240" s="71">
        <v>25</v>
      </c>
      <c r="M240" s="71" t="s">
        <v>323</v>
      </c>
      <c r="N240" s="104" t="s">
        <v>469</v>
      </c>
      <c r="O240" s="198" t="s">
        <v>324</v>
      </c>
      <c r="Q240" s="269">
        <v>157.38999999999999</v>
      </c>
      <c r="R240" s="213">
        <v>108.13</v>
      </c>
      <c r="S240" s="277">
        <v>138</v>
      </c>
      <c r="T240" s="278" t="e">
        <f>Table_1[[#This Row],[Rain_fall (mm)]]/Table_1[[#This Row],[Factors]]</f>
        <v>#VALUE!</v>
      </c>
      <c r="U240" s="278" t="s">
        <v>562</v>
      </c>
      <c r="V240" s="15"/>
      <c r="W240" s="15"/>
      <c r="X240" s="15"/>
      <c r="Y240" s="15"/>
      <c r="Z240" s="16"/>
    </row>
    <row r="241" spans="1:26" ht="48.75" customHeight="1" x14ac:dyDescent="0.35">
      <c r="A241" s="8">
        <v>240</v>
      </c>
      <c r="B241" s="70" t="s">
        <v>230</v>
      </c>
      <c r="C241" s="169" t="s">
        <v>233</v>
      </c>
      <c r="D241" s="140">
        <v>45941</v>
      </c>
      <c r="E241" s="172">
        <v>21.003581418815902</v>
      </c>
      <c r="F241" s="172">
        <v>105.81090826014299</v>
      </c>
      <c r="G241" s="174">
        <v>9</v>
      </c>
      <c r="H241" s="188">
        <v>0.3611111111111111</v>
      </c>
      <c r="I241" s="188">
        <v>0.375</v>
      </c>
      <c r="J241" s="71">
        <v>0.33</v>
      </c>
      <c r="K241" s="76" t="s">
        <v>456</v>
      </c>
      <c r="L241" s="71">
        <v>30</v>
      </c>
      <c r="M241" s="103">
        <v>46266</v>
      </c>
      <c r="N241" s="104" t="s">
        <v>469</v>
      </c>
      <c r="O241" s="198" t="s">
        <v>326</v>
      </c>
      <c r="Q241" s="269">
        <v>2.35</v>
      </c>
      <c r="R241" s="213">
        <v>117.14</v>
      </c>
      <c r="S241" s="277">
        <v>1.9</v>
      </c>
      <c r="T241" s="278" t="e">
        <f>Table_1[[#This Row],[Rain_fall (mm)]]/Table_1[[#This Row],[Factors]]</f>
        <v>#VALUE!</v>
      </c>
      <c r="U241" s="278" t="s">
        <v>562</v>
      </c>
      <c r="V241" s="15"/>
      <c r="W241" s="15"/>
      <c r="X241" s="15"/>
      <c r="Y241" s="15"/>
      <c r="Z241" s="16"/>
    </row>
    <row r="242" spans="1:26" ht="46.5" customHeight="1" x14ac:dyDescent="0.35">
      <c r="A242" s="10">
        <v>241</v>
      </c>
      <c r="B242" s="70" t="s">
        <v>230</v>
      </c>
      <c r="C242" s="168" t="s">
        <v>172</v>
      </c>
      <c r="D242" s="138">
        <v>45197</v>
      </c>
      <c r="E242" s="172">
        <v>20.983979644144</v>
      </c>
      <c r="F242" s="172">
        <v>105.80011532355</v>
      </c>
      <c r="G242" s="173">
        <v>8.18</v>
      </c>
      <c r="H242" s="188">
        <v>1</v>
      </c>
      <c r="I242" s="188">
        <v>0.25</v>
      </c>
      <c r="J242" s="71">
        <v>6</v>
      </c>
      <c r="K242" s="76" t="s">
        <v>456</v>
      </c>
      <c r="L242" s="71">
        <v>30</v>
      </c>
      <c r="M242" s="71" t="s">
        <v>327</v>
      </c>
      <c r="N242" s="104" t="s">
        <v>469</v>
      </c>
      <c r="O242" s="198" t="s">
        <v>328</v>
      </c>
      <c r="Q242" s="269">
        <v>68.59</v>
      </c>
      <c r="R242" s="213">
        <v>367.8</v>
      </c>
      <c r="S242" s="277">
        <v>33</v>
      </c>
      <c r="T242" s="278" t="e">
        <f>Table_1[[#This Row],[Rain_fall (mm)]]/Table_1[[#This Row],[Factors]]</f>
        <v>#VALUE!</v>
      </c>
      <c r="U242" s="278" t="s">
        <v>562</v>
      </c>
      <c r="V242" s="15"/>
      <c r="W242" s="15"/>
      <c r="X242" s="15"/>
      <c r="Y242" s="15"/>
      <c r="Z242" s="16"/>
    </row>
    <row r="243" spans="1:26" ht="49.5" customHeight="1" x14ac:dyDescent="0.35">
      <c r="A243" s="8">
        <v>242</v>
      </c>
      <c r="B243" s="70" t="s">
        <v>314</v>
      </c>
      <c r="C243" s="168" t="s">
        <v>329</v>
      </c>
      <c r="D243" s="138">
        <v>45197</v>
      </c>
      <c r="E243" s="172">
        <v>20.987187556728799</v>
      </c>
      <c r="F243" s="172">
        <v>105.85257991375801</v>
      </c>
      <c r="G243" s="173">
        <v>9.56</v>
      </c>
      <c r="H243" s="188">
        <v>0.25</v>
      </c>
      <c r="I243" s="188">
        <v>0.39583333333333331</v>
      </c>
      <c r="J243" s="71">
        <v>3.5</v>
      </c>
      <c r="K243" s="76" t="s">
        <v>456</v>
      </c>
      <c r="L243" s="71">
        <v>60</v>
      </c>
      <c r="M243" s="71" t="s">
        <v>327</v>
      </c>
      <c r="N243" s="104" t="s">
        <v>472</v>
      </c>
      <c r="O243" s="198" t="s">
        <v>330</v>
      </c>
      <c r="Q243" s="269">
        <v>68.59</v>
      </c>
      <c r="R243" s="213">
        <v>178.91</v>
      </c>
      <c r="S243" s="277">
        <v>38.299999999999997</v>
      </c>
      <c r="T243" s="278" t="e">
        <f>Table_1[[#This Row],[Rain_fall (mm)]]/Table_1[[#This Row],[Factors]]</f>
        <v>#VALUE!</v>
      </c>
      <c r="U243" s="278" t="s">
        <v>562</v>
      </c>
      <c r="V243" s="15"/>
      <c r="W243" s="15"/>
      <c r="X243" s="15"/>
      <c r="Y243" s="15"/>
      <c r="Z243" s="16"/>
    </row>
    <row r="244" spans="1:26" ht="48.75" customHeight="1" x14ac:dyDescent="0.35">
      <c r="A244" s="10">
        <v>243</v>
      </c>
      <c r="B244" s="70" t="s">
        <v>314</v>
      </c>
      <c r="C244" s="168" t="s">
        <v>331</v>
      </c>
      <c r="D244" s="138">
        <v>45542</v>
      </c>
      <c r="E244" s="172">
        <v>20.988931993870999</v>
      </c>
      <c r="F244" s="172">
        <v>105.874207502037</v>
      </c>
      <c r="G244" s="173">
        <v>10.11</v>
      </c>
      <c r="H244" s="188">
        <v>0.83333333333333337</v>
      </c>
      <c r="I244" s="188">
        <v>1</v>
      </c>
      <c r="J244" s="71">
        <v>4</v>
      </c>
      <c r="K244" s="76" t="s">
        <v>456</v>
      </c>
      <c r="L244" s="71">
        <v>30</v>
      </c>
      <c r="M244" s="71" t="s">
        <v>332</v>
      </c>
      <c r="N244" s="104" t="s">
        <v>469</v>
      </c>
      <c r="O244" s="198" t="s">
        <v>333</v>
      </c>
      <c r="Q244" s="269">
        <v>118.6</v>
      </c>
      <c r="R244" s="213">
        <v>216.71</v>
      </c>
      <c r="S244" s="277">
        <v>130.30000000000001</v>
      </c>
      <c r="T244" s="278" t="e">
        <f>Table_1[[#This Row],[Rain_fall (mm)]]/Table_1[[#This Row],[Factors]]</f>
        <v>#VALUE!</v>
      </c>
      <c r="U244" s="278" t="s">
        <v>562</v>
      </c>
      <c r="V244" s="15"/>
      <c r="W244" s="15"/>
      <c r="X244" s="15"/>
      <c r="Y244" s="15"/>
      <c r="Z244" s="16"/>
    </row>
    <row r="245" spans="1:26" ht="47.25" customHeight="1" x14ac:dyDescent="0.35">
      <c r="A245" s="8">
        <v>244</v>
      </c>
      <c r="B245" s="70" t="s">
        <v>314</v>
      </c>
      <c r="C245" s="168" t="s">
        <v>334</v>
      </c>
      <c r="D245" s="138">
        <v>45497</v>
      </c>
      <c r="E245" s="172">
        <v>20.970265081700301</v>
      </c>
      <c r="F245" s="172">
        <v>105.83276732725</v>
      </c>
      <c r="G245" s="173">
        <v>7.44</v>
      </c>
      <c r="H245" s="71">
        <v>0</v>
      </c>
      <c r="I245" s="71">
        <v>0</v>
      </c>
      <c r="J245" s="71">
        <v>0</v>
      </c>
      <c r="K245" s="76" t="s">
        <v>456</v>
      </c>
      <c r="L245" s="71">
        <v>30</v>
      </c>
      <c r="M245" s="71" t="s">
        <v>335</v>
      </c>
      <c r="N245" s="104" t="s">
        <v>469</v>
      </c>
      <c r="O245" s="198" t="s">
        <v>336</v>
      </c>
      <c r="Q245" s="269">
        <v>16.510000000000002</v>
      </c>
      <c r="R245" s="213">
        <v>44.27</v>
      </c>
      <c r="S245" s="277">
        <v>60.6</v>
      </c>
      <c r="T245" s="278" t="e">
        <f>Table_1[[#This Row],[Rain_fall (mm)]]/Table_1[[#This Row],[Factors]]</f>
        <v>#VALUE!</v>
      </c>
      <c r="U245" s="278" t="s">
        <v>562</v>
      </c>
      <c r="V245" s="15"/>
      <c r="W245" s="15"/>
      <c r="X245" s="15"/>
      <c r="Y245" s="15"/>
      <c r="Z245" s="16"/>
    </row>
    <row r="246" spans="1:26" ht="48.75" customHeight="1" x14ac:dyDescent="0.35">
      <c r="A246" s="10">
        <v>245</v>
      </c>
      <c r="B246" s="70" t="s">
        <v>314</v>
      </c>
      <c r="C246" s="168" t="s">
        <v>337</v>
      </c>
      <c r="D246" s="138">
        <v>45370</v>
      </c>
      <c r="E246" s="172">
        <v>20.9836920108988</v>
      </c>
      <c r="F246" s="172">
        <v>105.84813068392501</v>
      </c>
      <c r="G246" s="173">
        <v>7.88</v>
      </c>
      <c r="H246" s="188">
        <v>0.20833333333333334</v>
      </c>
      <c r="I246" s="188">
        <v>0.25</v>
      </c>
      <c r="J246" s="71">
        <v>1</v>
      </c>
      <c r="K246" s="76" t="s">
        <v>456</v>
      </c>
      <c r="L246" s="71">
        <v>30</v>
      </c>
      <c r="M246" s="71" t="s">
        <v>338</v>
      </c>
      <c r="N246" s="104" t="s">
        <v>469</v>
      </c>
      <c r="O246" s="198" t="s">
        <v>339</v>
      </c>
      <c r="Q246" s="269">
        <v>20.27</v>
      </c>
      <c r="R246" s="213">
        <v>278.63</v>
      </c>
      <c r="S246" s="277">
        <v>61.2</v>
      </c>
      <c r="T246" s="278" t="e">
        <f>Table_1[[#This Row],[Rain_fall (mm)]]/Table_1[[#This Row],[Factors]]</f>
        <v>#VALUE!</v>
      </c>
      <c r="U246" s="278" t="s">
        <v>562</v>
      </c>
      <c r="V246" s="15"/>
      <c r="W246" s="15"/>
      <c r="X246" s="15"/>
      <c r="Y246" s="15"/>
      <c r="Z246" s="16"/>
    </row>
    <row r="247" spans="1:26" ht="48" customHeight="1" x14ac:dyDescent="0.35">
      <c r="A247" s="8">
        <v>246</v>
      </c>
      <c r="B247" s="70" t="s">
        <v>314</v>
      </c>
      <c r="C247" s="168" t="s">
        <v>340</v>
      </c>
      <c r="D247" s="138">
        <v>45517</v>
      </c>
      <c r="E247" s="172">
        <v>20.956885411970401</v>
      </c>
      <c r="F247" s="172">
        <v>105.871336811907</v>
      </c>
      <c r="G247" s="173">
        <v>8.39</v>
      </c>
      <c r="H247" s="188">
        <v>0.70138888888888884</v>
      </c>
      <c r="I247" s="188">
        <v>0.78472222222222221</v>
      </c>
      <c r="J247" s="71">
        <v>2</v>
      </c>
      <c r="K247" s="76" t="s">
        <v>460</v>
      </c>
      <c r="L247" s="71">
        <v>30</v>
      </c>
      <c r="M247" s="103">
        <v>46254</v>
      </c>
      <c r="N247" s="104" t="s">
        <v>469</v>
      </c>
      <c r="O247" s="198" t="s">
        <v>341</v>
      </c>
      <c r="Q247" s="269">
        <v>8.86</v>
      </c>
      <c r="R247" s="213">
        <v>19.190000000000001</v>
      </c>
      <c r="S247" s="277">
        <v>19.600000000000001</v>
      </c>
      <c r="T247" s="278" t="e">
        <f>Table_1[[#This Row],[Rain_fall (mm)]]/Table_1[[#This Row],[Factors]]</f>
        <v>#VALUE!</v>
      </c>
      <c r="U247" s="278" t="s">
        <v>562</v>
      </c>
      <c r="V247" s="15"/>
      <c r="W247" s="15"/>
      <c r="X247" s="15"/>
      <c r="Y247" s="15"/>
      <c r="Z247" s="16"/>
    </row>
    <row r="248" spans="1:26" ht="48" customHeight="1" x14ac:dyDescent="0.35">
      <c r="A248" s="10">
        <v>247</v>
      </c>
      <c r="B248" s="70" t="s">
        <v>314</v>
      </c>
      <c r="C248" s="168" t="s">
        <v>342</v>
      </c>
      <c r="D248" s="138">
        <v>45895</v>
      </c>
      <c r="E248" s="172">
        <v>20.983286801822199</v>
      </c>
      <c r="F248" s="172">
        <v>105.831856026821</v>
      </c>
      <c r="G248" s="173">
        <v>8.1</v>
      </c>
      <c r="H248" s="188">
        <v>1</v>
      </c>
      <c r="I248" s="188">
        <v>0.29166666666666669</v>
      </c>
      <c r="J248" s="71">
        <v>7</v>
      </c>
      <c r="K248" s="76" t="s">
        <v>456</v>
      </c>
      <c r="L248" s="71">
        <v>60</v>
      </c>
      <c r="M248" s="71" t="s">
        <v>343</v>
      </c>
      <c r="N248" s="104" t="s">
        <v>472</v>
      </c>
      <c r="O248" s="198" t="s">
        <v>344</v>
      </c>
      <c r="Q248" s="269">
        <v>37.61</v>
      </c>
      <c r="R248" s="213">
        <v>203.05</v>
      </c>
      <c r="S248" s="277">
        <v>80</v>
      </c>
      <c r="T248" s="278" t="e">
        <f>Table_1[[#This Row],[Rain_fall (mm)]]/Table_1[[#This Row],[Factors]]</f>
        <v>#VALUE!</v>
      </c>
      <c r="U248" s="278" t="s">
        <v>562</v>
      </c>
      <c r="V248" s="15"/>
      <c r="W248" s="15"/>
      <c r="X248" s="15"/>
      <c r="Y248" s="15"/>
      <c r="Z248" s="16"/>
    </row>
    <row r="249" spans="1:26" ht="48.75" customHeight="1" x14ac:dyDescent="0.35">
      <c r="A249" s="8">
        <v>248</v>
      </c>
      <c r="B249" s="70" t="s">
        <v>314</v>
      </c>
      <c r="C249" s="168" t="s">
        <v>345</v>
      </c>
      <c r="D249" s="138">
        <v>45895</v>
      </c>
      <c r="E249" s="172">
        <v>20.993127633582301</v>
      </c>
      <c r="F249" s="172">
        <v>105.843328899743</v>
      </c>
      <c r="G249" s="173">
        <v>8.3800000000000008</v>
      </c>
      <c r="H249" s="199">
        <v>4.1666666666666664E-2</v>
      </c>
      <c r="I249" s="188">
        <v>0.25</v>
      </c>
      <c r="J249" s="71">
        <v>5</v>
      </c>
      <c r="K249" s="76" t="s">
        <v>456</v>
      </c>
      <c r="L249" s="71">
        <v>50</v>
      </c>
      <c r="M249" s="71" t="s">
        <v>343</v>
      </c>
      <c r="N249" s="104" t="s">
        <v>469</v>
      </c>
      <c r="O249" s="198" t="s">
        <v>346</v>
      </c>
      <c r="Q249" s="269">
        <v>37.61</v>
      </c>
      <c r="R249" s="213">
        <v>12.84</v>
      </c>
      <c r="S249" s="277">
        <v>72.7</v>
      </c>
      <c r="T249" s="278" t="e">
        <f>Table_1[[#This Row],[Rain_fall (mm)]]/Table_1[[#This Row],[Factors]]</f>
        <v>#VALUE!</v>
      </c>
      <c r="U249" s="278" t="s">
        <v>562</v>
      </c>
      <c r="V249" s="15"/>
      <c r="W249" s="15"/>
      <c r="X249" s="15"/>
      <c r="Y249" s="15"/>
      <c r="Z249" s="16"/>
    </row>
    <row r="250" spans="1:26" ht="49.5" customHeight="1" x14ac:dyDescent="0.35">
      <c r="A250" s="10">
        <v>249</v>
      </c>
      <c r="B250" s="70" t="s">
        <v>314</v>
      </c>
      <c r="C250" s="168" t="s">
        <v>347</v>
      </c>
      <c r="D250" s="138">
        <v>45930</v>
      </c>
      <c r="E250" s="172">
        <v>20.986939803022999</v>
      </c>
      <c r="F250" s="172">
        <v>105.84119081190801</v>
      </c>
      <c r="G250" s="173">
        <v>6.54</v>
      </c>
      <c r="H250" s="279">
        <v>0</v>
      </c>
      <c r="I250" s="279">
        <v>0</v>
      </c>
      <c r="J250" s="279">
        <v>0</v>
      </c>
      <c r="K250" s="76" t="s">
        <v>456</v>
      </c>
      <c r="L250" s="71">
        <v>90</v>
      </c>
      <c r="M250" s="71" t="s">
        <v>348</v>
      </c>
      <c r="N250" s="104" t="s">
        <v>475</v>
      </c>
      <c r="O250" s="198" t="s">
        <v>349</v>
      </c>
      <c r="Q250" s="269">
        <v>61.81</v>
      </c>
      <c r="R250" s="213">
        <v>126.09</v>
      </c>
      <c r="S250" s="277">
        <v>44</v>
      </c>
      <c r="T250" s="278" t="e">
        <f>Table_1[[#This Row],[Rain_fall (mm)]]/Table_1[[#This Row],[Factors]]</f>
        <v>#VALUE!</v>
      </c>
      <c r="U250" s="278" t="s">
        <v>562</v>
      </c>
      <c r="V250" s="15"/>
      <c r="W250" s="15"/>
      <c r="X250" s="15"/>
      <c r="Y250" s="15"/>
      <c r="Z250" s="16"/>
    </row>
    <row r="251" spans="1:26" ht="49.5" customHeight="1" x14ac:dyDescent="0.35">
      <c r="A251" s="8">
        <v>250</v>
      </c>
      <c r="B251" s="70" t="s">
        <v>350</v>
      </c>
      <c r="C251" s="168" t="s">
        <v>351</v>
      </c>
      <c r="D251" s="138">
        <v>45427</v>
      </c>
      <c r="E251" s="172">
        <v>21.0109071805532</v>
      </c>
      <c r="F251" s="172">
        <v>105.88303494259399</v>
      </c>
      <c r="G251" s="173">
        <v>11.42</v>
      </c>
      <c r="H251" s="188">
        <v>0.70833333333333337</v>
      </c>
      <c r="I251" s="188">
        <v>0.75</v>
      </c>
      <c r="J251" s="71">
        <v>1</v>
      </c>
      <c r="K251" s="76" t="s">
        <v>456</v>
      </c>
      <c r="L251" s="71">
        <v>30</v>
      </c>
      <c r="M251" s="71" t="s">
        <v>352</v>
      </c>
      <c r="N251" s="104" t="s">
        <v>469</v>
      </c>
      <c r="O251" s="198" t="s">
        <v>353</v>
      </c>
      <c r="Q251" s="269">
        <v>2.4</v>
      </c>
      <c r="R251" s="213">
        <v>123.21</v>
      </c>
      <c r="S251" s="277">
        <v>33.5</v>
      </c>
      <c r="T251" s="278" t="e">
        <f>Table_1[[#This Row],[Rain_fall (mm)]]/Table_1[[#This Row],[Factors]]</f>
        <v>#VALUE!</v>
      </c>
      <c r="U251" s="278" t="s">
        <v>562</v>
      </c>
      <c r="V251" s="15"/>
      <c r="W251" s="15"/>
      <c r="X251" s="15"/>
      <c r="Y251" s="15"/>
      <c r="Z251" s="16"/>
    </row>
    <row r="252" spans="1:26" ht="48.75" customHeight="1" x14ac:dyDescent="0.35">
      <c r="A252" s="10">
        <v>251</v>
      </c>
      <c r="B252" s="70" t="s">
        <v>350</v>
      </c>
      <c r="C252" s="168" t="s">
        <v>354</v>
      </c>
      <c r="D252" s="138">
        <v>45502</v>
      </c>
      <c r="E252" s="172">
        <v>21.029618716008599</v>
      </c>
      <c r="F252" s="172">
        <v>105.898290035012</v>
      </c>
      <c r="G252" s="173">
        <v>6.29</v>
      </c>
      <c r="H252" s="188">
        <v>0.33333333333333331</v>
      </c>
      <c r="I252" s="188">
        <v>0.35416666666666669</v>
      </c>
      <c r="J252" s="71">
        <v>0.5</v>
      </c>
      <c r="K252" s="76" t="s">
        <v>456</v>
      </c>
      <c r="L252" s="71">
        <v>50</v>
      </c>
      <c r="M252" s="71" t="s">
        <v>355</v>
      </c>
      <c r="N252" s="104" t="s">
        <v>469</v>
      </c>
      <c r="O252" s="198" t="s">
        <v>356</v>
      </c>
      <c r="Q252" s="269">
        <v>32.89</v>
      </c>
      <c r="R252" s="213">
        <v>261.33</v>
      </c>
      <c r="S252" s="277">
        <v>40.9</v>
      </c>
      <c r="T252" s="278" t="e">
        <f>Table_1[[#This Row],[Rain_fall (mm)]]/Table_1[[#This Row],[Factors]]</f>
        <v>#VALUE!</v>
      </c>
      <c r="U252" s="278" t="s">
        <v>562</v>
      </c>
      <c r="V252" s="15"/>
      <c r="W252" s="15"/>
      <c r="X252" s="15"/>
      <c r="Y252" s="15"/>
      <c r="Z252" s="16"/>
    </row>
    <row r="253" spans="1:26" ht="48.75" customHeight="1" x14ac:dyDescent="0.35">
      <c r="A253" s="8">
        <v>252</v>
      </c>
      <c r="B253" s="70" t="s">
        <v>350</v>
      </c>
      <c r="C253" s="168" t="s">
        <v>357</v>
      </c>
      <c r="D253" s="138">
        <v>45503</v>
      </c>
      <c r="E253" s="172">
        <v>21.024715430456901</v>
      </c>
      <c r="F253" s="172">
        <v>105.901964938894</v>
      </c>
      <c r="G253" s="173">
        <v>7.06</v>
      </c>
      <c r="H253" s="188">
        <v>0.33333333333333331</v>
      </c>
      <c r="I253" s="188">
        <v>0.35416666666666669</v>
      </c>
      <c r="J253" s="71">
        <v>0.5</v>
      </c>
      <c r="K253" s="76" t="s">
        <v>456</v>
      </c>
      <c r="L253" s="71">
        <v>50</v>
      </c>
      <c r="M253" s="103">
        <v>46293</v>
      </c>
      <c r="N253" s="104" t="s">
        <v>469</v>
      </c>
      <c r="O253" s="86" t="s">
        <v>356</v>
      </c>
      <c r="Q253" s="269">
        <v>44.25</v>
      </c>
      <c r="R253" s="213">
        <v>499.02</v>
      </c>
      <c r="S253" s="277">
        <v>47.1</v>
      </c>
      <c r="T253" s="278" t="e">
        <f>Table_1[[#This Row],[Rain_fall (mm)]]/Table_1[[#This Row],[Factors]]</f>
        <v>#VALUE!</v>
      </c>
      <c r="U253" s="278" t="s">
        <v>562</v>
      </c>
      <c r="V253" s="15"/>
      <c r="W253" s="15"/>
      <c r="X253" s="15"/>
      <c r="Y253" s="15"/>
      <c r="Z253" s="16"/>
    </row>
    <row r="254" spans="1:26" ht="48" customHeight="1" x14ac:dyDescent="0.35">
      <c r="A254" s="10">
        <v>253</v>
      </c>
      <c r="B254" s="70" t="s">
        <v>350</v>
      </c>
      <c r="C254" s="168" t="s">
        <v>358</v>
      </c>
      <c r="D254" s="138">
        <v>45504</v>
      </c>
      <c r="E254" s="172">
        <v>21.038635039742498</v>
      </c>
      <c r="F254" s="172">
        <v>105.876503830952</v>
      </c>
      <c r="G254" s="173">
        <v>7.9</v>
      </c>
      <c r="H254" s="188">
        <v>0.33333333333333331</v>
      </c>
      <c r="I254" s="188">
        <v>0.35416666666666669</v>
      </c>
      <c r="J254" s="71">
        <v>0.5</v>
      </c>
      <c r="K254" s="76" t="s">
        <v>456</v>
      </c>
      <c r="L254" s="71">
        <v>50</v>
      </c>
      <c r="M254" s="71" t="s">
        <v>359</v>
      </c>
      <c r="N254" s="104" t="s">
        <v>469</v>
      </c>
      <c r="O254" s="86" t="s">
        <v>356</v>
      </c>
      <c r="Q254" s="269">
        <v>5.37</v>
      </c>
      <c r="R254" s="213">
        <v>180.52</v>
      </c>
      <c r="S254" s="277">
        <v>1</v>
      </c>
      <c r="T254" s="278" t="e">
        <f>Table_1[[#This Row],[Rain_fall (mm)]]/Table_1[[#This Row],[Factors]]</f>
        <v>#VALUE!</v>
      </c>
      <c r="U254" s="278" t="s">
        <v>562</v>
      </c>
      <c r="V254" s="15"/>
      <c r="W254" s="15"/>
      <c r="X254" s="15"/>
      <c r="Y254" s="15"/>
      <c r="Z254" s="16"/>
    </row>
    <row r="255" spans="1:26" ht="47.25" customHeight="1" x14ac:dyDescent="0.35">
      <c r="A255" s="8">
        <v>254</v>
      </c>
      <c r="B255" s="70" t="s">
        <v>350</v>
      </c>
      <c r="C255" s="168" t="s">
        <v>360</v>
      </c>
      <c r="D255" s="138">
        <v>45505</v>
      </c>
      <c r="E255" s="172">
        <v>21.026235812140399</v>
      </c>
      <c r="F255" s="172">
        <v>105.893801583073</v>
      </c>
      <c r="G255" s="173">
        <v>8.3000000000000007</v>
      </c>
      <c r="H255" s="188">
        <v>0.33333333333333331</v>
      </c>
      <c r="I255" s="188">
        <v>0.35416666666666669</v>
      </c>
      <c r="J255" s="71">
        <v>0.5</v>
      </c>
      <c r="K255" s="76" t="s">
        <v>456</v>
      </c>
      <c r="L255" s="71">
        <v>50</v>
      </c>
      <c r="M255" s="103">
        <v>46083</v>
      </c>
      <c r="N255" s="104" t="s">
        <v>469</v>
      </c>
      <c r="O255" s="86" t="s">
        <v>356</v>
      </c>
      <c r="Q255" s="269">
        <v>16.45</v>
      </c>
      <c r="R255" s="213">
        <v>525.79999999999995</v>
      </c>
      <c r="S255" s="277">
        <v>1.9</v>
      </c>
      <c r="T255" s="278" t="e">
        <f>Table_1[[#This Row],[Rain_fall (mm)]]/Table_1[[#This Row],[Factors]]</f>
        <v>#VALUE!</v>
      </c>
      <c r="U255" s="278" t="s">
        <v>562</v>
      </c>
      <c r="V255" s="15"/>
      <c r="W255" s="15"/>
      <c r="X255" s="15"/>
      <c r="Y255" s="15"/>
      <c r="Z255" s="16"/>
    </row>
    <row r="256" spans="1:26" ht="49.5" customHeight="1" x14ac:dyDescent="0.35">
      <c r="A256" s="10">
        <v>255</v>
      </c>
      <c r="B256" s="70" t="s">
        <v>350</v>
      </c>
      <c r="C256" s="168" t="s">
        <v>361</v>
      </c>
      <c r="D256" s="138">
        <v>45527</v>
      </c>
      <c r="E256" s="172">
        <v>21.065829257693199</v>
      </c>
      <c r="F256" s="172">
        <v>105.898315103968</v>
      </c>
      <c r="G256" s="173">
        <v>8.8000000000000007</v>
      </c>
      <c r="H256" s="188">
        <v>1</v>
      </c>
      <c r="I256" s="188">
        <v>0.20833333333333334</v>
      </c>
      <c r="J256" s="71">
        <v>5</v>
      </c>
      <c r="K256" s="76" t="s">
        <v>456</v>
      </c>
      <c r="L256" s="71">
        <v>30</v>
      </c>
      <c r="M256" s="71" t="s">
        <v>362</v>
      </c>
      <c r="N256" s="104" t="s">
        <v>469</v>
      </c>
      <c r="O256" s="198" t="s">
        <v>363</v>
      </c>
      <c r="Q256" s="269">
        <v>66.959999999999994</v>
      </c>
      <c r="R256" s="213">
        <v>103.14</v>
      </c>
      <c r="S256" s="277">
        <v>40.1</v>
      </c>
      <c r="T256" s="278" t="e">
        <f>Table_1[[#This Row],[Rain_fall (mm)]]/Table_1[[#This Row],[Factors]]</f>
        <v>#VALUE!</v>
      </c>
      <c r="U256" s="278" t="s">
        <v>562</v>
      </c>
      <c r="V256" s="15"/>
      <c r="W256" s="15"/>
      <c r="X256" s="15"/>
      <c r="Y256" s="15"/>
      <c r="Z256" s="16"/>
    </row>
    <row r="257" spans="1:26" ht="50.25" customHeight="1" x14ac:dyDescent="0.35">
      <c r="A257" s="8">
        <v>256</v>
      </c>
      <c r="B257" s="70" t="s">
        <v>350</v>
      </c>
      <c r="C257" s="168" t="s">
        <v>364</v>
      </c>
      <c r="D257" s="138">
        <v>44705</v>
      </c>
      <c r="E257" s="172">
        <v>21.024715430456901</v>
      </c>
      <c r="F257" s="172">
        <v>105.901964938894</v>
      </c>
      <c r="G257" s="173">
        <v>7.06</v>
      </c>
      <c r="H257" s="188">
        <v>0.33333333333333331</v>
      </c>
      <c r="I257" s="188">
        <v>0.41666666666666669</v>
      </c>
      <c r="J257" s="71">
        <v>2</v>
      </c>
      <c r="K257" s="76" t="s">
        <v>456</v>
      </c>
      <c r="L257" s="71">
        <v>30</v>
      </c>
      <c r="M257" s="71" t="s">
        <v>365</v>
      </c>
      <c r="N257" s="104" t="s">
        <v>469</v>
      </c>
      <c r="O257" s="198" t="s">
        <v>366</v>
      </c>
      <c r="Q257" s="269">
        <v>37.58</v>
      </c>
      <c r="R257" s="213">
        <v>499.02</v>
      </c>
      <c r="S257" s="277">
        <v>25</v>
      </c>
      <c r="T257" s="278" t="e">
        <f>Table_1[[#This Row],[Rain_fall (mm)]]/Table_1[[#This Row],[Factors]]</f>
        <v>#VALUE!</v>
      </c>
      <c r="U257" s="278" t="s">
        <v>562</v>
      </c>
      <c r="V257" s="15"/>
      <c r="W257" s="15"/>
      <c r="X257" s="15"/>
      <c r="Y257" s="15"/>
      <c r="Z257" s="16"/>
    </row>
    <row r="258" spans="1:26" ht="47.25" customHeight="1" x14ac:dyDescent="0.35">
      <c r="A258" s="10">
        <v>257</v>
      </c>
      <c r="B258" s="70" t="s">
        <v>350</v>
      </c>
      <c r="C258" s="168" t="s">
        <v>367</v>
      </c>
      <c r="D258" s="138">
        <v>45937</v>
      </c>
      <c r="E258" s="172">
        <v>21.0426548677192</v>
      </c>
      <c r="F258" s="172">
        <v>105.887537746296</v>
      </c>
      <c r="G258" s="173">
        <v>6.75</v>
      </c>
      <c r="H258" s="188">
        <v>0</v>
      </c>
      <c r="I258" s="188">
        <v>0</v>
      </c>
      <c r="J258" s="71">
        <v>0</v>
      </c>
      <c r="K258" s="76" t="s">
        <v>456</v>
      </c>
      <c r="L258" s="71">
        <v>30</v>
      </c>
      <c r="M258" s="71" t="s">
        <v>368</v>
      </c>
      <c r="N258" s="104" t="s">
        <v>469</v>
      </c>
      <c r="O258" s="198" t="s">
        <v>369</v>
      </c>
      <c r="Q258" s="269">
        <v>157.38999999999999</v>
      </c>
      <c r="R258" s="213">
        <v>164.66</v>
      </c>
      <c r="S258" s="277">
        <v>133</v>
      </c>
      <c r="T258" s="278" t="e">
        <f>Table_1[[#This Row],[Rain_fall (mm)]]/Table_1[[#This Row],[Factors]]</f>
        <v>#VALUE!</v>
      </c>
      <c r="U258" s="278" t="s">
        <v>562</v>
      </c>
      <c r="V258" s="15"/>
      <c r="W258" s="15"/>
      <c r="X258" s="15"/>
      <c r="Y258" s="15"/>
      <c r="Z258" s="16"/>
    </row>
    <row r="259" spans="1:26" ht="50.25" customHeight="1" x14ac:dyDescent="0.35">
      <c r="A259" s="8">
        <v>258</v>
      </c>
      <c r="B259" s="70" t="s">
        <v>197</v>
      </c>
      <c r="C259" s="168" t="s">
        <v>370</v>
      </c>
      <c r="D259" s="138">
        <v>45424</v>
      </c>
      <c r="E259" s="172">
        <v>21.028851523631101</v>
      </c>
      <c r="F259" s="172">
        <v>105.84531063889401</v>
      </c>
      <c r="G259" s="173">
        <v>16.440000000000001</v>
      </c>
      <c r="H259" s="188">
        <v>0.75</v>
      </c>
      <c r="I259" s="188">
        <v>0.79166666666666663</v>
      </c>
      <c r="J259" s="71">
        <v>2</v>
      </c>
      <c r="K259" s="76" t="s">
        <v>456</v>
      </c>
      <c r="L259" s="71">
        <v>40</v>
      </c>
      <c r="M259" s="71" t="s">
        <v>371</v>
      </c>
      <c r="N259" s="104" t="s">
        <v>469</v>
      </c>
      <c r="O259" s="198" t="s">
        <v>372</v>
      </c>
      <c r="Q259" s="269">
        <v>8.17</v>
      </c>
      <c r="R259" s="213">
        <v>642.27</v>
      </c>
      <c r="S259" s="277">
        <v>33.1</v>
      </c>
      <c r="T259" s="278" t="e">
        <f>Table_1[[#This Row],[Rain_fall (mm)]]/Table_1[[#This Row],[Factors]]</f>
        <v>#VALUE!</v>
      </c>
      <c r="U259" s="278" t="s">
        <v>562</v>
      </c>
      <c r="V259" s="15"/>
      <c r="W259" s="15"/>
      <c r="X259" s="15"/>
      <c r="Y259" s="15"/>
      <c r="Z259" s="16"/>
    </row>
    <row r="260" spans="1:26" ht="49.5" customHeight="1" x14ac:dyDescent="0.35">
      <c r="A260" s="10">
        <v>259</v>
      </c>
      <c r="B260" s="70" t="s">
        <v>197</v>
      </c>
      <c r="C260" s="168" t="s">
        <v>373</v>
      </c>
      <c r="D260" s="138">
        <v>45424</v>
      </c>
      <c r="E260" s="172">
        <v>21.0256876143665</v>
      </c>
      <c r="F260" s="172">
        <v>105.84323566773</v>
      </c>
      <c r="G260" s="173">
        <v>8.8800000000000008</v>
      </c>
      <c r="H260" s="188">
        <v>0.75</v>
      </c>
      <c r="I260" s="188">
        <v>0.79166666666666663</v>
      </c>
      <c r="J260" s="71">
        <v>2</v>
      </c>
      <c r="K260" s="76" t="s">
        <v>456</v>
      </c>
      <c r="L260" s="71">
        <v>10</v>
      </c>
      <c r="M260" s="71" t="s">
        <v>371</v>
      </c>
      <c r="N260" s="104" t="s">
        <v>466</v>
      </c>
      <c r="O260" s="198" t="s">
        <v>372</v>
      </c>
      <c r="Q260" s="269">
        <v>8.17</v>
      </c>
      <c r="R260" s="213">
        <v>296.45</v>
      </c>
      <c r="S260" s="277">
        <v>33.1</v>
      </c>
      <c r="T260" s="278" t="e">
        <f>Table_1[[#This Row],[Rain_fall (mm)]]/Table_1[[#This Row],[Factors]]</f>
        <v>#VALUE!</v>
      </c>
      <c r="U260" s="278" t="s">
        <v>562</v>
      </c>
      <c r="V260" s="15"/>
      <c r="W260" s="15"/>
      <c r="X260" s="15"/>
      <c r="Y260" s="15"/>
      <c r="Z260" s="16"/>
    </row>
    <row r="261" spans="1:26" ht="50.25" customHeight="1" x14ac:dyDescent="0.35">
      <c r="A261" s="8">
        <v>260</v>
      </c>
      <c r="B261" s="70" t="s">
        <v>197</v>
      </c>
      <c r="C261" s="168" t="s">
        <v>78</v>
      </c>
      <c r="D261" s="138">
        <v>45424</v>
      </c>
      <c r="E261" s="172">
        <v>21.027967839579802</v>
      </c>
      <c r="F261" s="172">
        <v>105.85741944074501</v>
      </c>
      <c r="G261" s="173">
        <v>18.29</v>
      </c>
      <c r="H261" s="188">
        <v>0.70833333333333337</v>
      </c>
      <c r="I261" s="188">
        <v>0.79166666666666663</v>
      </c>
      <c r="J261" s="71">
        <v>3</v>
      </c>
      <c r="K261" s="76" t="s">
        <v>456</v>
      </c>
      <c r="L261" s="71">
        <v>35</v>
      </c>
      <c r="M261" s="71" t="s">
        <v>371</v>
      </c>
      <c r="N261" s="104" t="s">
        <v>469</v>
      </c>
      <c r="O261" s="198" t="s">
        <v>374</v>
      </c>
      <c r="Q261" s="269">
        <v>8.17</v>
      </c>
      <c r="R261" s="213">
        <v>408.28</v>
      </c>
      <c r="S261" s="277">
        <v>33.6</v>
      </c>
      <c r="T261" s="278" t="e">
        <f>Table_1[[#This Row],[Rain_fall (mm)]]/Table_1[[#This Row],[Factors]]</f>
        <v>#VALUE!</v>
      </c>
      <c r="U261" s="278" t="s">
        <v>562</v>
      </c>
      <c r="V261" s="15"/>
      <c r="W261" s="15"/>
      <c r="X261" s="15"/>
      <c r="Y261" s="15"/>
      <c r="Z261" s="16"/>
    </row>
    <row r="262" spans="1:26" ht="48.75" customHeight="1" x14ac:dyDescent="0.35">
      <c r="A262" s="10">
        <v>261</v>
      </c>
      <c r="B262" s="70" t="s">
        <v>197</v>
      </c>
      <c r="C262" s="168" t="s">
        <v>375</v>
      </c>
      <c r="D262" s="138">
        <v>45546</v>
      </c>
      <c r="E262" s="172">
        <v>21.037645937031801</v>
      </c>
      <c r="F262" s="172">
        <v>105.85497609656601</v>
      </c>
      <c r="G262" s="173">
        <v>15.6</v>
      </c>
      <c r="H262" s="188">
        <v>0</v>
      </c>
      <c r="I262" s="188">
        <v>0</v>
      </c>
      <c r="J262" s="71">
        <v>0</v>
      </c>
      <c r="K262" s="76" t="s">
        <v>462</v>
      </c>
      <c r="L262" s="71">
        <v>25</v>
      </c>
      <c r="M262" s="71"/>
      <c r="N262" s="104" t="s">
        <v>469</v>
      </c>
      <c r="O262" s="198" t="s">
        <v>376</v>
      </c>
      <c r="Q262" s="269">
        <v>51.94</v>
      </c>
      <c r="R262" s="213">
        <v>262.39999999999998</v>
      </c>
      <c r="S262" s="277">
        <v>64.099999999999994</v>
      </c>
      <c r="T262" s="278" t="e">
        <f>Table_1[[#This Row],[Rain_fall (mm)]]/Table_1[[#This Row],[Factors]]</f>
        <v>#VALUE!</v>
      </c>
      <c r="U262" s="278" t="s">
        <v>562</v>
      </c>
      <c r="V262" s="15"/>
      <c r="W262" s="15"/>
      <c r="X262" s="15"/>
      <c r="Y262" s="15"/>
      <c r="Z262" s="16"/>
    </row>
    <row r="263" spans="1:26" ht="50.25" customHeight="1" x14ac:dyDescent="0.35">
      <c r="A263" s="8">
        <v>262</v>
      </c>
      <c r="B263" s="70" t="s">
        <v>197</v>
      </c>
      <c r="C263" s="168" t="s">
        <v>377</v>
      </c>
      <c r="D263" s="138">
        <v>45546</v>
      </c>
      <c r="E263" s="172">
        <v>21.029956629560399</v>
      </c>
      <c r="F263" s="172">
        <v>105.860904235012</v>
      </c>
      <c r="G263" s="173">
        <v>9.42</v>
      </c>
      <c r="H263" s="188">
        <v>0</v>
      </c>
      <c r="I263" s="188">
        <v>0</v>
      </c>
      <c r="J263" s="71">
        <v>0</v>
      </c>
      <c r="K263" s="76" t="s">
        <v>462</v>
      </c>
      <c r="L263" s="71">
        <v>100</v>
      </c>
      <c r="M263" s="71"/>
      <c r="N263" s="104" t="s">
        <v>475</v>
      </c>
      <c r="O263" s="86" t="s">
        <v>378</v>
      </c>
      <c r="Q263" s="269">
        <v>51.94</v>
      </c>
      <c r="R263" s="213">
        <v>81.12</v>
      </c>
      <c r="S263" s="277">
        <v>64.099999999999994</v>
      </c>
      <c r="T263" s="278" t="e">
        <f>Table_1[[#This Row],[Rain_fall (mm)]]/Table_1[[#This Row],[Factors]]</f>
        <v>#VALUE!</v>
      </c>
      <c r="U263" s="278" t="s">
        <v>562</v>
      </c>
      <c r="V263" s="15"/>
      <c r="W263" s="15"/>
      <c r="X263" s="15"/>
      <c r="Y263" s="15"/>
      <c r="Z263" s="16"/>
    </row>
    <row r="264" spans="1:26" ht="50.25" customHeight="1" x14ac:dyDescent="0.35">
      <c r="A264" s="10">
        <v>263</v>
      </c>
      <c r="B264" s="70" t="s">
        <v>197</v>
      </c>
      <c r="C264" s="168" t="s">
        <v>213</v>
      </c>
      <c r="D264" s="138">
        <v>45518</v>
      </c>
      <c r="E264" s="172">
        <v>21.035065558193299</v>
      </c>
      <c r="F264" s="172">
        <v>105.85210989656601</v>
      </c>
      <c r="G264" s="173">
        <v>16.010000000000002</v>
      </c>
      <c r="H264" s="188">
        <v>0.22916666666666666</v>
      </c>
      <c r="I264" s="188">
        <v>0.33333333333333331</v>
      </c>
      <c r="J264" s="71">
        <v>2.5</v>
      </c>
      <c r="K264" s="76" t="s">
        <v>456</v>
      </c>
      <c r="L264" s="71">
        <v>50</v>
      </c>
      <c r="M264" s="103">
        <v>46247</v>
      </c>
      <c r="N264" s="104" t="s">
        <v>469</v>
      </c>
      <c r="O264" s="198" t="s">
        <v>379</v>
      </c>
      <c r="Q264" s="269">
        <v>8.18</v>
      </c>
      <c r="R264" s="213">
        <v>380.37</v>
      </c>
      <c r="S264" s="277">
        <v>6.9</v>
      </c>
      <c r="T264" s="278" t="e">
        <f>Table_1[[#This Row],[Rain_fall (mm)]]/Table_1[[#This Row],[Factors]]</f>
        <v>#VALUE!</v>
      </c>
      <c r="U264" s="278" t="s">
        <v>562</v>
      </c>
      <c r="V264" s="15"/>
      <c r="W264" s="15"/>
      <c r="X264" s="15"/>
      <c r="Y264" s="15"/>
      <c r="Z264" s="16"/>
    </row>
    <row r="265" spans="1:26" ht="48.75" customHeight="1" x14ac:dyDescent="0.35">
      <c r="A265" s="8">
        <v>264</v>
      </c>
      <c r="B265" s="70" t="s">
        <v>197</v>
      </c>
      <c r="C265" s="168" t="s">
        <v>380</v>
      </c>
      <c r="D265" s="138">
        <v>45518</v>
      </c>
      <c r="E265" s="172">
        <v>21.027679467440301</v>
      </c>
      <c r="F265" s="172">
        <v>105.855903325401</v>
      </c>
      <c r="G265" s="173">
        <v>10.33</v>
      </c>
      <c r="H265" s="188">
        <v>0.22916666666666666</v>
      </c>
      <c r="I265" s="188">
        <v>0.33333333333333331</v>
      </c>
      <c r="J265" s="71">
        <v>2.5</v>
      </c>
      <c r="K265" s="76" t="s">
        <v>456</v>
      </c>
      <c r="L265" s="71">
        <v>40</v>
      </c>
      <c r="M265" s="103">
        <v>46247</v>
      </c>
      <c r="N265" s="104" t="s">
        <v>469</v>
      </c>
      <c r="O265" s="86" t="s">
        <v>379</v>
      </c>
      <c r="Q265" s="269">
        <v>8.18</v>
      </c>
      <c r="R265" s="213">
        <v>256.32</v>
      </c>
      <c r="S265" s="277">
        <v>6.3</v>
      </c>
      <c r="T265" s="278" t="e">
        <f>Table_1[[#This Row],[Rain_fall (mm)]]/Table_1[[#This Row],[Factors]]</f>
        <v>#VALUE!</v>
      </c>
      <c r="U265" s="278" t="s">
        <v>562</v>
      </c>
      <c r="V265" s="15"/>
      <c r="W265" s="15"/>
      <c r="X265" s="15"/>
      <c r="Y265" s="15"/>
      <c r="Z265" s="16"/>
    </row>
    <row r="266" spans="1:26" ht="48.75" customHeight="1" x14ac:dyDescent="0.35">
      <c r="A266" s="10">
        <v>265</v>
      </c>
      <c r="B266" s="70" t="s">
        <v>197</v>
      </c>
      <c r="C266" s="168" t="s">
        <v>381</v>
      </c>
      <c r="D266" s="138">
        <v>44060</v>
      </c>
      <c r="E266" s="172">
        <v>21.032748863008202</v>
      </c>
      <c r="F266" s="172">
        <v>105.846492984923</v>
      </c>
      <c r="G266" s="173">
        <v>15.32</v>
      </c>
      <c r="H266" s="188">
        <v>0.65972222222222221</v>
      </c>
      <c r="I266" s="188">
        <v>0.70138888888888884</v>
      </c>
      <c r="J266" s="71">
        <v>1</v>
      </c>
      <c r="K266" s="76" t="s">
        <v>456</v>
      </c>
      <c r="L266" s="71">
        <v>25</v>
      </c>
      <c r="M266" s="103">
        <v>46043</v>
      </c>
      <c r="N266" s="104" t="s">
        <v>469</v>
      </c>
      <c r="O266" s="198" t="s">
        <v>382</v>
      </c>
      <c r="Q266" s="269">
        <v>33.07</v>
      </c>
      <c r="R266" s="213">
        <v>518.65</v>
      </c>
      <c r="S266" s="277">
        <v>17.399999999999999</v>
      </c>
      <c r="T266" s="278" t="e">
        <f>Table_1[[#This Row],[Rain_fall (mm)]]/Table_1[[#This Row],[Factors]]</f>
        <v>#VALUE!</v>
      </c>
      <c r="U266" s="278" t="s">
        <v>562</v>
      </c>
      <c r="V266" s="15"/>
      <c r="W266" s="15"/>
      <c r="X266" s="15"/>
      <c r="Y266" s="15"/>
      <c r="Z266" s="16"/>
    </row>
    <row r="267" spans="1:26" ht="49.5" customHeight="1" x14ac:dyDescent="0.35">
      <c r="A267" s="8">
        <v>266</v>
      </c>
      <c r="B267" s="70" t="s">
        <v>165</v>
      </c>
      <c r="C267" s="168" t="s">
        <v>383</v>
      </c>
      <c r="D267" s="138">
        <v>45424</v>
      </c>
      <c r="E267" s="172">
        <v>20.980207114314201</v>
      </c>
      <c r="F267" s="172">
        <v>105.782757898415</v>
      </c>
      <c r="G267" s="173">
        <v>8.31</v>
      </c>
      <c r="H267" s="188">
        <v>0.75</v>
      </c>
      <c r="I267" s="188">
        <v>0.84722222222222221</v>
      </c>
      <c r="J267" s="71">
        <v>2.33</v>
      </c>
      <c r="K267" s="76" t="s">
        <v>456</v>
      </c>
      <c r="L267" s="71">
        <v>30</v>
      </c>
      <c r="M267" s="71" t="s">
        <v>371</v>
      </c>
      <c r="N267" s="104" t="s">
        <v>469</v>
      </c>
      <c r="O267" s="198" t="s">
        <v>38</v>
      </c>
      <c r="Q267" s="269">
        <v>8.17</v>
      </c>
      <c r="R267" s="213">
        <v>122.04</v>
      </c>
      <c r="S267" s="277">
        <v>38.6</v>
      </c>
      <c r="T267" s="278" t="e">
        <f>Table_1[[#This Row],[Rain_fall (mm)]]/Table_1[[#This Row],[Factors]]</f>
        <v>#VALUE!</v>
      </c>
      <c r="U267" s="278" t="s">
        <v>562</v>
      </c>
      <c r="V267" s="15"/>
      <c r="W267" s="15"/>
      <c r="X267" s="15"/>
      <c r="Y267" s="15"/>
      <c r="Z267" s="16"/>
    </row>
    <row r="268" spans="1:26" ht="48.75" customHeight="1" x14ac:dyDescent="0.35">
      <c r="A268" s="10">
        <v>267</v>
      </c>
      <c r="B268" s="70" t="s">
        <v>165</v>
      </c>
      <c r="C268" s="168" t="s">
        <v>384</v>
      </c>
      <c r="D268" s="138">
        <v>45424</v>
      </c>
      <c r="E268" s="172">
        <v>20.9646664271894</v>
      </c>
      <c r="F268" s="172">
        <v>105.7718127254</v>
      </c>
      <c r="G268" s="173">
        <v>7.6</v>
      </c>
      <c r="H268" s="188">
        <v>0.75</v>
      </c>
      <c r="I268" s="188">
        <v>0.84722222222222221</v>
      </c>
      <c r="J268" s="71">
        <v>2.33</v>
      </c>
      <c r="K268" s="76" t="s">
        <v>456</v>
      </c>
      <c r="L268" s="71">
        <v>30</v>
      </c>
      <c r="M268" s="71" t="s">
        <v>371</v>
      </c>
      <c r="N268" s="104" t="s">
        <v>469</v>
      </c>
      <c r="O268" s="86" t="s">
        <v>38</v>
      </c>
      <c r="Q268" s="269">
        <v>8.17</v>
      </c>
      <c r="R268" s="213">
        <v>317.18</v>
      </c>
      <c r="S268" s="277">
        <v>38.6</v>
      </c>
      <c r="T268" s="278" t="e">
        <f>Table_1[[#This Row],[Rain_fall (mm)]]/Table_1[[#This Row],[Factors]]</f>
        <v>#VALUE!</v>
      </c>
      <c r="U268" s="278" t="s">
        <v>562</v>
      </c>
      <c r="V268" s="15"/>
      <c r="W268" s="15"/>
      <c r="X268" s="15"/>
      <c r="Y268" s="15"/>
      <c r="Z268" s="16"/>
    </row>
    <row r="269" spans="1:26" ht="49.5" customHeight="1" x14ac:dyDescent="0.35">
      <c r="A269" s="8">
        <v>268</v>
      </c>
      <c r="B269" s="70" t="s">
        <v>165</v>
      </c>
      <c r="C269" s="168" t="s">
        <v>125</v>
      </c>
      <c r="D269" s="138">
        <v>45424</v>
      </c>
      <c r="E269" s="172">
        <v>20.988111570155802</v>
      </c>
      <c r="F269" s="172">
        <v>105.77924762355001</v>
      </c>
      <c r="G269" s="173">
        <v>7.08</v>
      </c>
      <c r="H269" s="188">
        <v>0.3125</v>
      </c>
      <c r="I269" s="188">
        <v>0.35416666666666669</v>
      </c>
      <c r="J269" s="71">
        <v>1</v>
      </c>
      <c r="K269" s="76" t="s">
        <v>456</v>
      </c>
      <c r="L269" s="71">
        <v>40</v>
      </c>
      <c r="M269" s="71" t="s">
        <v>371</v>
      </c>
      <c r="N269" s="104" t="s">
        <v>469</v>
      </c>
      <c r="O269" s="198" t="s">
        <v>385</v>
      </c>
      <c r="Q269" s="269">
        <v>8.17</v>
      </c>
      <c r="R269" s="213">
        <v>130.80000000000001</v>
      </c>
      <c r="S269" s="277">
        <v>38.6</v>
      </c>
      <c r="T269" s="278" t="e">
        <f>Table_1[[#This Row],[Rain_fall (mm)]]/Table_1[[#This Row],[Factors]]</f>
        <v>#VALUE!</v>
      </c>
      <c r="U269" s="278" t="s">
        <v>562</v>
      </c>
      <c r="V269" s="15"/>
      <c r="W269" s="15"/>
      <c r="X269" s="15"/>
      <c r="Y269" s="15"/>
      <c r="Z269" s="16"/>
    </row>
    <row r="270" spans="1:26" ht="48" customHeight="1" x14ac:dyDescent="0.35">
      <c r="A270" s="10">
        <v>269</v>
      </c>
      <c r="B270" s="70" t="s">
        <v>165</v>
      </c>
      <c r="C270" s="168" t="s">
        <v>187</v>
      </c>
      <c r="D270" s="138">
        <v>45545</v>
      </c>
      <c r="E270" s="172">
        <v>21.0347190308348</v>
      </c>
      <c r="F270" s="172">
        <v>105.845637810059</v>
      </c>
      <c r="G270" s="173">
        <v>9.2100000000000009</v>
      </c>
      <c r="H270" s="188">
        <v>0</v>
      </c>
      <c r="I270" s="188">
        <v>0</v>
      </c>
      <c r="J270" s="71">
        <v>0</v>
      </c>
      <c r="K270" s="76" t="s">
        <v>456</v>
      </c>
      <c r="L270" s="71">
        <v>40</v>
      </c>
      <c r="M270" s="103">
        <v>46048</v>
      </c>
      <c r="N270" s="104" t="s">
        <v>469</v>
      </c>
      <c r="O270" s="198" t="s">
        <v>386</v>
      </c>
      <c r="Q270" s="269">
        <v>69.239999999999995</v>
      </c>
      <c r="R270" s="213">
        <v>694.58</v>
      </c>
      <c r="S270" s="277">
        <v>27.1</v>
      </c>
      <c r="T270" s="278" t="e">
        <f>Table_1[[#This Row],[Rain_fall (mm)]]/Table_1[[#This Row],[Factors]]</f>
        <v>#VALUE!</v>
      </c>
      <c r="U270" s="278" t="s">
        <v>562</v>
      </c>
      <c r="V270" s="15"/>
      <c r="W270" s="15"/>
      <c r="X270" s="15"/>
      <c r="Y270" s="15"/>
      <c r="Z270" s="16"/>
    </row>
    <row r="271" spans="1:26" ht="48.75" customHeight="1" x14ac:dyDescent="0.35">
      <c r="A271" s="8">
        <v>270</v>
      </c>
      <c r="B271" s="70" t="s">
        <v>165</v>
      </c>
      <c r="C271" s="168" t="s">
        <v>387</v>
      </c>
      <c r="D271" s="138">
        <v>45545</v>
      </c>
      <c r="E271" s="172">
        <v>20.968089743371099</v>
      </c>
      <c r="F271" s="172">
        <v>105.78422462151001</v>
      </c>
      <c r="G271" s="173">
        <v>11.01</v>
      </c>
      <c r="H271" s="188">
        <v>0</v>
      </c>
      <c r="I271" s="188">
        <v>0</v>
      </c>
      <c r="J271" s="71">
        <v>0</v>
      </c>
      <c r="K271" s="76" t="s">
        <v>456</v>
      </c>
      <c r="L271" s="71">
        <v>80</v>
      </c>
      <c r="M271" s="103">
        <v>46048</v>
      </c>
      <c r="N271" s="104" t="s">
        <v>472</v>
      </c>
      <c r="O271" s="86" t="s">
        <v>386</v>
      </c>
      <c r="Q271" s="269">
        <v>69.239999999999995</v>
      </c>
      <c r="R271" s="213">
        <v>31.04</v>
      </c>
      <c r="S271" s="277">
        <v>26.1</v>
      </c>
      <c r="T271" s="278" t="e">
        <f>Table_1[[#This Row],[Rain_fall (mm)]]/Table_1[[#This Row],[Factors]]</f>
        <v>#VALUE!</v>
      </c>
      <c r="U271" s="278" t="s">
        <v>562</v>
      </c>
      <c r="V271" s="15"/>
      <c r="W271" s="15"/>
      <c r="X271" s="15"/>
      <c r="Y271" s="15"/>
      <c r="Z271" s="16"/>
    </row>
    <row r="272" spans="1:26" ht="50.25" customHeight="1" x14ac:dyDescent="0.35">
      <c r="A272" s="10">
        <v>271</v>
      </c>
      <c r="B272" s="70" t="s">
        <v>165</v>
      </c>
      <c r="C272" s="168" t="s">
        <v>388</v>
      </c>
      <c r="D272" s="138">
        <v>45549</v>
      </c>
      <c r="E272" s="172">
        <v>20.971714116304501</v>
      </c>
      <c r="F272" s="172">
        <v>105.78827401190701</v>
      </c>
      <c r="G272" s="173">
        <v>9.42</v>
      </c>
      <c r="H272" s="188">
        <v>0</v>
      </c>
      <c r="I272" s="188">
        <v>0</v>
      </c>
      <c r="J272" s="71">
        <v>0</v>
      </c>
      <c r="K272" s="76" t="s">
        <v>456</v>
      </c>
      <c r="L272" s="71">
        <v>40</v>
      </c>
      <c r="M272" s="103">
        <v>46205</v>
      </c>
      <c r="N272" s="104" t="s">
        <v>469</v>
      </c>
      <c r="O272" s="198" t="s">
        <v>389</v>
      </c>
      <c r="Q272" s="269">
        <v>5.18</v>
      </c>
      <c r="R272" s="213">
        <v>175.22</v>
      </c>
      <c r="S272" s="277">
        <v>2.7</v>
      </c>
      <c r="T272" s="278" t="e">
        <f>Table_1[[#This Row],[Rain_fall (mm)]]/Table_1[[#This Row],[Factors]]</f>
        <v>#VALUE!</v>
      </c>
      <c r="U272" s="278" t="s">
        <v>562</v>
      </c>
      <c r="V272" s="15"/>
      <c r="W272" s="15"/>
      <c r="X272" s="15"/>
      <c r="Y272" s="15"/>
      <c r="Z272" s="16"/>
    </row>
    <row r="273" spans="1:26" ht="48.75" customHeight="1" x14ac:dyDescent="0.35">
      <c r="A273" s="8">
        <v>272</v>
      </c>
      <c r="B273" s="70" t="s">
        <v>165</v>
      </c>
      <c r="C273" s="168" t="s">
        <v>390</v>
      </c>
      <c r="D273" s="138">
        <v>45197</v>
      </c>
      <c r="E273" s="172">
        <v>20.968838738813901</v>
      </c>
      <c r="F273" s="172">
        <v>105.779769294714</v>
      </c>
      <c r="G273" s="173">
        <v>8.8800000000000008</v>
      </c>
      <c r="H273" s="188">
        <v>0.25</v>
      </c>
      <c r="I273" s="188">
        <v>0.375</v>
      </c>
      <c r="J273" s="71">
        <v>3</v>
      </c>
      <c r="K273" s="76" t="s">
        <v>456</v>
      </c>
      <c r="L273" s="71">
        <v>30</v>
      </c>
      <c r="M273" s="71" t="s">
        <v>327</v>
      </c>
      <c r="N273" s="104" t="s">
        <v>469</v>
      </c>
      <c r="O273" s="198" t="s">
        <v>391</v>
      </c>
      <c r="Q273" s="269">
        <v>68.59</v>
      </c>
      <c r="R273" s="213">
        <v>232.4</v>
      </c>
      <c r="S273" s="277">
        <v>33</v>
      </c>
      <c r="T273" s="278" t="e">
        <f>Table_1[[#This Row],[Rain_fall (mm)]]/Table_1[[#This Row],[Factors]]</f>
        <v>#VALUE!</v>
      </c>
      <c r="U273" s="278" t="s">
        <v>562</v>
      </c>
      <c r="V273" s="15"/>
      <c r="W273" s="15"/>
      <c r="X273" s="15"/>
      <c r="Y273" s="15"/>
      <c r="Z273" s="16"/>
    </row>
    <row r="274" spans="1:26" ht="51.75" customHeight="1" x14ac:dyDescent="0.35">
      <c r="A274" s="10">
        <v>273</v>
      </c>
      <c r="B274" s="70" t="s">
        <v>165</v>
      </c>
      <c r="C274" s="168" t="s">
        <v>392</v>
      </c>
      <c r="D274" s="138">
        <v>45895</v>
      </c>
      <c r="E274" s="172">
        <v>20.952707010517202</v>
      </c>
      <c r="F274" s="172">
        <v>105.757237569579</v>
      </c>
      <c r="G274" s="173">
        <v>7.09</v>
      </c>
      <c r="H274" s="188">
        <v>0</v>
      </c>
      <c r="I274" s="188">
        <v>0</v>
      </c>
      <c r="J274" s="71">
        <v>0</v>
      </c>
      <c r="K274" s="76" t="s">
        <v>456</v>
      </c>
      <c r="L274" s="71">
        <v>23</v>
      </c>
      <c r="M274" s="71" t="s">
        <v>393</v>
      </c>
      <c r="N274" s="104" t="s">
        <v>469</v>
      </c>
      <c r="O274" s="198" t="s">
        <v>394</v>
      </c>
      <c r="Q274" s="269">
        <v>37.61</v>
      </c>
      <c r="R274" s="213">
        <v>1183.01</v>
      </c>
      <c r="S274" s="277">
        <v>79.099999999999994</v>
      </c>
      <c r="T274" s="278" t="e">
        <f>Table_1[[#This Row],[Rain_fall (mm)]]/Table_1[[#This Row],[Factors]]</f>
        <v>#VALUE!</v>
      </c>
      <c r="U274" s="278" t="s">
        <v>562</v>
      </c>
      <c r="V274" s="15"/>
      <c r="W274" s="15"/>
      <c r="X274" s="15"/>
      <c r="Y274" s="15"/>
      <c r="Z274" s="16"/>
    </row>
    <row r="275" spans="1:26" ht="50.25" customHeight="1" x14ac:dyDescent="0.35">
      <c r="A275" s="8">
        <v>274</v>
      </c>
      <c r="B275" s="70" t="s">
        <v>165</v>
      </c>
      <c r="C275" s="168" t="s">
        <v>395</v>
      </c>
      <c r="D275" s="138">
        <v>45930</v>
      </c>
      <c r="E275" s="172">
        <v>20.983461458108899</v>
      </c>
      <c r="F275" s="172">
        <v>105.78244101005799</v>
      </c>
      <c r="G275" s="173">
        <v>6.82</v>
      </c>
      <c r="H275" s="188">
        <v>0</v>
      </c>
      <c r="I275" s="188">
        <v>0</v>
      </c>
      <c r="J275" s="71">
        <v>0</v>
      </c>
      <c r="K275" s="76" t="s">
        <v>456</v>
      </c>
      <c r="L275" s="71">
        <v>35</v>
      </c>
      <c r="M275" s="71" t="s">
        <v>348</v>
      </c>
      <c r="N275" s="104" t="s">
        <v>469</v>
      </c>
      <c r="O275" s="86" t="s">
        <v>396</v>
      </c>
      <c r="Q275" s="269">
        <v>61.81</v>
      </c>
      <c r="R275" s="213">
        <v>78.66</v>
      </c>
      <c r="S275" s="277">
        <v>49.4</v>
      </c>
      <c r="T275" s="278" t="e">
        <f>Table_1[[#This Row],[Rain_fall (mm)]]/Table_1[[#This Row],[Factors]]</f>
        <v>#VALUE!</v>
      </c>
      <c r="U275" s="278" t="s">
        <v>562</v>
      </c>
      <c r="V275" s="15"/>
      <c r="W275" s="15"/>
      <c r="X275" s="15"/>
      <c r="Y275" s="15"/>
      <c r="Z275" s="16"/>
    </row>
    <row r="276" spans="1:26" ht="50.25" customHeight="1" x14ac:dyDescent="0.35">
      <c r="A276" s="10">
        <v>275</v>
      </c>
      <c r="B276" s="70" t="s">
        <v>194</v>
      </c>
      <c r="C276" s="168" t="s">
        <v>195</v>
      </c>
      <c r="D276" s="138">
        <v>45424</v>
      </c>
      <c r="E276" s="172">
        <v>21.043065087490699</v>
      </c>
      <c r="F276" s="172">
        <v>105.844245396566</v>
      </c>
      <c r="G276" s="173">
        <v>12.95</v>
      </c>
      <c r="H276" s="188">
        <v>0.8125</v>
      </c>
      <c r="I276" s="188">
        <v>0.85416666666666663</v>
      </c>
      <c r="J276" s="71">
        <v>1</v>
      </c>
      <c r="K276" s="76" t="s">
        <v>456</v>
      </c>
      <c r="L276" s="71">
        <v>40</v>
      </c>
      <c r="M276" s="71" t="s">
        <v>371</v>
      </c>
      <c r="N276" s="104" t="s">
        <v>469</v>
      </c>
      <c r="O276" s="198" t="s">
        <v>385</v>
      </c>
      <c r="Q276" s="269">
        <v>8.17</v>
      </c>
      <c r="R276" s="213">
        <v>297.88</v>
      </c>
      <c r="S276" s="277">
        <v>33.1</v>
      </c>
      <c r="T276" s="278" t="e">
        <f>Table_1[[#This Row],[Rain_fall (mm)]]/Table_1[[#This Row],[Factors]]</f>
        <v>#VALUE!</v>
      </c>
      <c r="U276" s="278" t="s">
        <v>562</v>
      </c>
      <c r="V276" s="15"/>
      <c r="W276" s="15"/>
      <c r="X276" s="15"/>
      <c r="Y276" s="15"/>
      <c r="Z276" s="16"/>
    </row>
    <row r="277" spans="1:26" ht="49.5" customHeight="1" x14ac:dyDescent="0.35">
      <c r="A277" s="8">
        <v>276</v>
      </c>
      <c r="B277" s="70" t="s">
        <v>194</v>
      </c>
      <c r="C277" s="168" t="s">
        <v>397</v>
      </c>
      <c r="D277" s="138">
        <v>45448</v>
      </c>
      <c r="E277" s="172">
        <v>21.035313538959301</v>
      </c>
      <c r="F277" s="172">
        <v>105.814309673281</v>
      </c>
      <c r="G277" s="173">
        <v>11.71</v>
      </c>
      <c r="H277" s="188">
        <v>0.25</v>
      </c>
      <c r="I277" s="188">
        <v>0.375</v>
      </c>
      <c r="J277" s="71">
        <v>3</v>
      </c>
      <c r="K277" s="76" t="s">
        <v>456</v>
      </c>
      <c r="L277" s="71">
        <v>30</v>
      </c>
      <c r="M277" s="71" t="s">
        <v>398</v>
      </c>
      <c r="N277" s="104" t="s">
        <v>469</v>
      </c>
      <c r="O277" s="198" t="s">
        <v>399</v>
      </c>
      <c r="Q277" s="269">
        <v>18.600000000000001</v>
      </c>
      <c r="R277" s="213">
        <v>585.74</v>
      </c>
      <c r="S277" s="277">
        <v>93.8</v>
      </c>
      <c r="T277" s="278" t="e">
        <f>Table_1[[#This Row],[Rain_fall (mm)]]/Table_1[[#This Row],[Factors]]</f>
        <v>#VALUE!</v>
      </c>
      <c r="U277" s="278" t="s">
        <v>562</v>
      </c>
      <c r="V277" s="15"/>
      <c r="W277" s="15"/>
      <c r="X277" s="15"/>
      <c r="Y277" s="15"/>
      <c r="Z277" s="16"/>
    </row>
    <row r="278" spans="1:26" ht="54.75" customHeight="1" x14ac:dyDescent="0.35">
      <c r="A278" s="10">
        <v>277</v>
      </c>
      <c r="B278" s="70" t="s">
        <v>194</v>
      </c>
      <c r="C278" s="168" t="s">
        <v>400</v>
      </c>
      <c r="D278" s="138">
        <v>45364</v>
      </c>
      <c r="E278" s="172">
        <v>21.0462732193206</v>
      </c>
      <c r="F278" s="172">
        <v>105.84189627513101</v>
      </c>
      <c r="G278" s="173">
        <v>12.95</v>
      </c>
      <c r="H278" s="188">
        <v>0.83333333333333337</v>
      </c>
      <c r="I278" s="188">
        <v>1</v>
      </c>
      <c r="J278" s="71">
        <v>4</v>
      </c>
      <c r="K278" s="76" t="s">
        <v>456</v>
      </c>
      <c r="L278" s="71">
        <v>20</v>
      </c>
      <c r="M278" s="71">
        <v>80</v>
      </c>
      <c r="N278" s="104" t="s">
        <v>469</v>
      </c>
      <c r="O278" s="198" t="s">
        <v>401</v>
      </c>
      <c r="Q278" s="269">
        <v>1.18</v>
      </c>
      <c r="R278" s="213">
        <v>3.43</v>
      </c>
      <c r="S278" s="277">
        <v>1.3</v>
      </c>
      <c r="T278" s="278" t="e">
        <f>Table_1[[#This Row],[Rain_fall (mm)]]/Table_1[[#This Row],[Factors]]</f>
        <v>#VALUE!</v>
      </c>
      <c r="U278" s="278" t="s">
        <v>562</v>
      </c>
      <c r="V278" s="15"/>
      <c r="W278" s="15"/>
      <c r="X278" s="15"/>
      <c r="Y278" s="15"/>
      <c r="Z278" s="16"/>
    </row>
    <row r="279" spans="1:26" ht="53.25" customHeight="1" x14ac:dyDescent="0.35">
      <c r="A279" s="8">
        <v>278</v>
      </c>
      <c r="B279" s="70" t="s">
        <v>194</v>
      </c>
      <c r="C279" s="168" t="s">
        <v>402</v>
      </c>
      <c r="D279" s="138">
        <v>45197</v>
      </c>
      <c r="E279" s="172">
        <v>21.0538726581383</v>
      </c>
      <c r="F279" s="172">
        <v>105.840061138895</v>
      </c>
      <c r="G279" s="173">
        <v>14.51</v>
      </c>
      <c r="H279" s="188">
        <v>0.25</v>
      </c>
      <c r="I279" s="188">
        <v>0.375</v>
      </c>
      <c r="J279" s="71">
        <v>3</v>
      </c>
      <c r="K279" s="76" t="s">
        <v>456</v>
      </c>
      <c r="L279" s="71">
        <v>30</v>
      </c>
      <c r="M279" s="71" t="s">
        <v>327</v>
      </c>
      <c r="N279" s="104" t="s">
        <v>469</v>
      </c>
      <c r="O279" s="198" t="s">
        <v>241</v>
      </c>
      <c r="Q279" s="269">
        <v>68.59</v>
      </c>
      <c r="R279" s="213">
        <v>341.67</v>
      </c>
      <c r="S279" s="277">
        <v>38</v>
      </c>
      <c r="T279" s="278" t="e">
        <f>Table_1[[#This Row],[Rain_fall (mm)]]/Table_1[[#This Row],[Factors]]</f>
        <v>#VALUE!</v>
      </c>
      <c r="U279" s="278" t="s">
        <v>562</v>
      </c>
      <c r="V279" s="15"/>
      <c r="W279" s="15"/>
      <c r="X279" s="15"/>
      <c r="Y279" s="15"/>
      <c r="Z279" s="16"/>
    </row>
    <row r="280" spans="1:26" ht="50.25" customHeight="1" x14ac:dyDescent="0.35">
      <c r="A280" s="10">
        <v>279</v>
      </c>
      <c r="B280" s="70" t="s">
        <v>194</v>
      </c>
      <c r="C280" s="168" t="s">
        <v>403</v>
      </c>
      <c r="D280" s="138">
        <v>45551</v>
      </c>
      <c r="E280" s="172">
        <v>21.030269736762602</v>
      </c>
      <c r="F280" s="172">
        <v>105.839748615609</v>
      </c>
      <c r="G280" s="173">
        <v>8.92</v>
      </c>
      <c r="H280" s="199">
        <v>0.95833333333333337</v>
      </c>
      <c r="I280" s="188">
        <v>8.3333333333333329E-2</v>
      </c>
      <c r="J280" s="71">
        <v>4</v>
      </c>
      <c r="K280" s="76" t="s">
        <v>456</v>
      </c>
      <c r="L280" s="71">
        <v>30</v>
      </c>
      <c r="M280" s="71" t="s">
        <v>365</v>
      </c>
      <c r="N280" s="104" t="s">
        <v>469</v>
      </c>
      <c r="O280" s="198" t="s">
        <v>404</v>
      </c>
      <c r="Q280" s="269">
        <v>5.46</v>
      </c>
      <c r="R280" s="213">
        <v>408.54</v>
      </c>
      <c r="S280" s="277">
        <v>9.3000000000000007</v>
      </c>
      <c r="T280" s="278" t="e">
        <f>Table_1[[#This Row],[Rain_fall (mm)]]/Table_1[[#This Row],[Factors]]</f>
        <v>#VALUE!</v>
      </c>
      <c r="U280" s="278" t="s">
        <v>562</v>
      </c>
      <c r="V280" s="15"/>
      <c r="W280" s="15"/>
      <c r="X280" s="15"/>
      <c r="Y280" s="15"/>
      <c r="Z280" s="16"/>
    </row>
    <row r="281" spans="1:26" ht="63.75" customHeight="1" x14ac:dyDescent="0.35">
      <c r="A281" s="8">
        <v>280</v>
      </c>
      <c r="B281" s="70" t="s">
        <v>194</v>
      </c>
      <c r="C281" s="168" t="s">
        <v>304</v>
      </c>
      <c r="D281" s="138">
        <v>44327</v>
      </c>
      <c r="E281" s="172">
        <v>21.035680209738899</v>
      </c>
      <c r="F281" s="172">
        <v>105.819171381223</v>
      </c>
      <c r="G281" s="173">
        <v>12.18</v>
      </c>
      <c r="H281" s="188">
        <v>0</v>
      </c>
      <c r="I281" s="188">
        <v>0.25</v>
      </c>
      <c r="J281" s="71">
        <v>6</v>
      </c>
      <c r="K281" s="76" t="s">
        <v>456</v>
      </c>
      <c r="L281" s="71">
        <v>25</v>
      </c>
      <c r="M281" s="71"/>
      <c r="N281" s="104" t="s">
        <v>475</v>
      </c>
      <c r="O281" s="105" t="s">
        <v>405</v>
      </c>
      <c r="Q281" s="269">
        <v>5.0999999999999996</v>
      </c>
      <c r="R281" s="213">
        <v>164.07</v>
      </c>
      <c r="S281" s="277">
        <v>0</v>
      </c>
      <c r="T281" s="278" t="e">
        <f>Table_1[[#This Row],[Rain_fall (mm)]]/Table_1[[#This Row],[Factors]]</f>
        <v>#VALUE!</v>
      </c>
      <c r="U281" s="278" t="s">
        <v>562</v>
      </c>
      <c r="V281" s="15"/>
      <c r="W281" s="15"/>
      <c r="X281" s="15"/>
      <c r="Y281" s="15"/>
      <c r="Z281" s="16"/>
    </row>
    <row r="282" spans="1:26" ht="64.5" customHeight="1" x14ac:dyDescent="0.35">
      <c r="A282" s="10">
        <v>281</v>
      </c>
      <c r="B282" s="70" t="s">
        <v>194</v>
      </c>
      <c r="C282" s="168" t="s">
        <v>406</v>
      </c>
      <c r="D282" s="138">
        <v>45930</v>
      </c>
      <c r="E282" s="172">
        <v>21.035680209738899</v>
      </c>
      <c r="F282" s="172">
        <v>105.819171381223</v>
      </c>
      <c r="G282" s="173">
        <v>12.18</v>
      </c>
      <c r="H282" s="188">
        <v>0.29166666666666669</v>
      </c>
      <c r="I282" s="188">
        <v>0.66666666666666663</v>
      </c>
      <c r="J282" s="71">
        <v>9</v>
      </c>
      <c r="K282" s="76" t="s">
        <v>456</v>
      </c>
      <c r="L282" s="71">
        <v>30</v>
      </c>
      <c r="M282" s="71" t="s">
        <v>348</v>
      </c>
      <c r="N282" s="104" t="s">
        <v>469</v>
      </c>
      <c r="O282" s="198" t="s">
        <v>407</v>
      </c>
      <c r="Q282" s="269">
        <v>61.81</v>
      </c>
      <c r="R282" s="213">
        <v>164.07</v>
      </c>
      <c r="S282" s="277">
        <v>43.8</v>
      </c>
      <c r="T282" s="278" t="e">
        <f>Table_1[[#This Row],[Rain_fall (mm)]]/Table_1[[#This Row],[Factors]]</f>
        <v>#VALUE!</v>
      </c>
      <c r="U282" s="278" t="s">
        <v>562</v>
      </c>
      <c r="V282" s="15"/>
      <c r="W282" s="15"/>
      <c r="X282" s="15"/>
      <c r="Y282" s="15"/>
      <c r="Z282" s="16"/>
    </row>
    <row r="283" spans="1:26" ht="50.25" customHeight="1" x14ac:dyDescent="0.35">
      <c r="A283" s="8">
        <v>282</v>
      </c>
      <c r="B283" s="70" t="s">
        <v>194</v>
      </c>
      <c r="C283" s="168" t="s">
        <v>305</v>
      </c>
      <c r="D283" s="138">
        <v>43671</v>
      </c>
      <c r="E283" s="172">
        <v>21.0379014817781</v>
      </c>
      <c r="F283" s="172">
        <v>105.829674323551</v>
      </c>
      <c r="G283" s="173">
        <v>11.34</v>
      </c>
      <c r="H283" s="188">
        <v>0.54166666666666663</v>
      </c>
      <c r="I283" s="188">
        <v>0.58333333333333337</v>
      </c>
      <c r="J283" s="71">
        <v>1</v>
      </c>
      <c r="K283" s="76" t="s">
        <v>456</v>
      </c>
      <c r="L283" s="71">
        <v>20</v>
      </c>
      <c r="M283" s="103">
        <v>46083</v>
      </c>
      <c r="N283" s="104" t="s">
        <v>469</v>
      </c>
      <c r="O283" s="198" t="s">
        <v>408</v>
      </c>
      <c r="Q283" s="269">
        <v>4.72</v>
      </c>
      <c r="R283" s="213">
        <v>8.5500000000000007</v>
      </c>
      <c r="S283" s="277">
        <v>2.2999999999999998</v>
      </c>
      <c r="T283" s="278" t="e">
        <f>Table_1[[#This Row],[Rain_fall (mm)]]/Table_1[[#This Row],[Factors]]</f>
        <v>#VALUE!</v>
      </c>
      <c r="U283" s="278" t="s">
        <v>562</v>
      </c>
      <c r="V283" s="15"/>
      <c r="W283" s="15"/>
      <c r="X283" s="15"/>
      <c r="Y283" s="15"/>
      <c r="Z283" s="16"/>
    </row>
    <row r="284" spans="1:26" ht="50.25" customHeight="1" x14ac:dyDescent="0.35">
      <c r="A284" s="10">
        <v>283</v>
      </c>
      <c r="B284" s="160" t="s">
        <v>13</v>
      </c>
      <c r="C284" s="168" t="s">
        <v>494</v>
      </c>
      <c r="D284" s="202" t="s">
        <v>493</v>
      </c>
      <c r="E284" s="172">
        <v>21.031094949377099</v>
      </c>
      <c r="F284" s="172">
        <v>105.78397455423701</v>
      </c>
      <c r="G284" s="173">
        <v>6.95</v>
      </c>
      <c r="H284" s="199">
        <v>0.95833333333333337</v>
      </c>
      <c r="I284" s="188">
        <v>0.1875</v>
      </c>
      <c r="J284" s="71">
        <v>5.5</v>
      </c>
      <c r="K284" s="76" t="s">
        <v>456</v>
      </c>
      <c r="L284" s="71">
        <v>50</v>
      </c>
      <c r="M284" s="71">
        <v>200</v>
      </c>
      <c r="N284" s="104" t="s">
        <v>466</v>
      </c>
      <c r="O284" s="200" t="s">
        <v>496</v>
      </c>
      <c r="Q284" s="269">
        <v>14.82</v>
      </c>
      <c r="R284" s="213">
        <v>24.32</v>
      </c>
      <c r="S284" s="277">
        <v>44.6</v>
      </c>
      <c r="T284" s="278" t="e">
        <f>Table_1[[#This Row],[Rain_fall (mm)]]/Table_1[[#This Row],[Factors]]</f>
        <v>#VALUE!</v>
      </c>
      <c r="U284" s="278" t="s">
        <v>562</v>
      </c>
      <c r="V284" s="15"/>
      <c r="W284" s="15"/>
      <c r="X284" s="15"/>
      <c r="Y284" s="15"/>
      <c r="Z284" s="16"/>
    </row>
    <row r="285" spans="1:26" ht="50.25" customHeight="1" x14ac:dyDescent="0.35">
      <c r="A285" s="8">
        <v>284</v>
      </c>
      <c r="B285" s="160" t="s">
        <v>314</v>
      </c>
      <c r="C285" s="168" t="s">
        <v>337</v>
      </c>
      <c r="D285" s="202" t="s">
        <v>493</v>
      </c>
      <c r="E285" s="255">
        <v>20.983926876424299</v>
      </c>
      <c r="F285" s="172">
        <v>105.85510670222099</v>
      </c>
      <c r="G285" s="173">
        <v>8.39</v>
      </c>
      <c r="H285" s="199">
        <v>0.95833333333333337</v>
      </c>
      <c r="I285" s="188">
        <v>0.1875</v>
      </c>
      <c r="J285" s="71">
        <v>5.5</v>
      </c>
      <c r="K285" s="76" t="s">
        <v>456</v>
      </c>
      <c r="L285" s="71">
        <v>60</v>
      </c>
      <c r="M285" s="71">
        <v>200</v>
      </c>
      <c r="N285" s="104" t="s">
        <v>466</v>
      </c>
      <c r="O285" s="200" t="s">
        <v>496</v>
      </c>
      <c r="Q285" s="269">
        <v>14.82</v>
      </c>
      <c r="R285" s="213">
        <v>14.2</v>
      </c>
      <c r="S285" s="277">
        <v>44.6</v>
      </c>
      <c r="T285" s="278" t="e">
        <f>Table_1[[#This Row],[Rain_fall (mm)]]/Table_1[[#This Row],[Factors]]</f>
        <v>#VALUE!</v>
      </c>
      <c r="U285" s="278" t="s">
        <v>562</v>
      </c>
      <c r="V285" s="15"/>
      <c r="W285" s="15"/>
      <c r="X285" s="15"/>
      <c r="Y285" s="15"/>
      <c r="Z285" s="16"/>
    </row>
    <row r="286" spans="1:26" ht="50.25" customHeight="1" x14ac:dyDescent="0.35">
      <c r="A286" s="10">
        <v>285</v>
      </c>
      <c r="B286" s="160" t="s">
        <v>13</v>
      </c>
      <c r="C286" s="168" t="s">
        <v>495</v>
      </c>
      <c r="D286" s="202" t="s">
        <v>493</v>
      </c>
      <c r="E286" s="9">
        <v>21.018240540989002</v>
      </c>
      <c r="F286" s="9">
        <v>105.782186224421</v>
      </c>
      <c r="G286" s="10">
        <v>6.99</v>
      </c>
      <c r="H286" s="199">
        <v>0.95833333333333337</v>
      </c>
      <c r="I286" s="188">
        <v>0.1875</v>
      </c>
      <c r="J286" s="71">
        <v>5.5</v>
      </c>
      <c r="K286" s="76" t="s">
        <v>456</v>
      </c>
      <c r="L286" s="71">
        <v>50</v>
      </c>
      <c r="M286" s="71">
        <v>200</v>
      </c>
      <c r="N286" s="104" t="s">
        <v>466</v>
      </c>
      <c r="O286" s="200" t="s">
        <v>496</v>
      </c>
      <c r="Q286" s="269">
        <v>14.82</v>
      </c>
      <c r="R286" s="213">
        <v>21.46</v>
      </c>
      <c r="S286" s="277">
        <v>44.6</v>
      </c>
      <c r="T286" s="278" t="e">
        <f>Table_1[[#This Row],[Rain_fall (mm)]]/Table_1[[#This Row],[Factors]]</f>
        <v>#VALUE!</v>
      </c>
      <c r="U286" s="278" t="s">
        <v>562</v>
      </c>
      <c r="V286" s="15"/>
      <c r="W286" s="15"/>
      <c r="X286" s="15"/>
      <c r="Y286" s="15"/>
      <c r="Z286" s="16"/>
    </row>
    <row r="287" spans="1:26" ht="50.25" customHeight="1" x14ac:dyDescent="0.35">
      <c r="A287" s="8">
        <v>286</v>
      </c>
      <c r="B287" s="160" t="s">
        <v>57</v>
      </c>
      <c r="C287" s="211" t="s">
        <v>82</v>
      </c>
      <c r="D287" s="202" t="s">
        <v>497</v>
      </c>
      <c r="E287" s="25">
        <v>21.001740000000002</v>
      </c>
      <c r="F287" s="25">
        <v>105.87363999999999</v>
      </c>
      <c r="G287" s="10">
        <v>11.2</v>
      </c>
      <c r="H287" s="188">
        <v>0.75</v>
      </c>
      <c r="I287" s="188">
        <v>0.625</v>
      </c>
      <c r="J287" s="71">
        <v>21</v>
      </c>
      <c r="K287" s="76" t="s">
        <v>456</v>
      </c>
      <c r="L287" s="71">
        <v>40</v>
      </c>
      <c r="M287" s="71"/>
      <c r="N287" s="104" t="s">
        <v>466</v>
      </c>
      <c r="O287" s="200" t="s">
        <v>504</v>
      </c>
      <c r="Q287" s="269">
        <v>30.66</v>
      </c>
      <c r="R287" s="213">
        <v>264.97000000000003</v>
      </c>
      <c r="S287" s="277">
        <v>25.6</v>
      </c>
      <c r="T287" s="278" t="e">
        <f>Table_1[[#This Row],[Rain_fall (mm)]]/Table_1[[#This Row],[Factors]]</f>
        <v>#VALUE!</v>
      </c>
      <c r="U287" s="278" t="s">
        <v>562</v>
      </c>
      <c r="V287" s="15"/>
      <c r="W287" s="15"/>
      <c r="X287" s="15"/>
      <c r="Y287" s="15"/>
      <c r="Z287" s="16"/>
    </row>
    <row r="288" spans="1:26" ht="50.25" customHeight="1" x14ac:dyDescent="0.35">
      <c r="A288" s="10">
        <v>287</v>
      </c>
      <c r="B288" s="209" t="s">
        <v>314</v>
      </c>
      <c r="C288" s="213" t="s">
        <v>499</v>
      </c>
      <c r="D288" s="210" t="s">
        <v>498</v>
      </c>
      <c r="E288" s="172">
        <v>20.988662588565798</v>
      </c>
      <c r="F288" s="172">
        <v>105.854906283072</v>
      </c>
      <c r="G288" s="173">
        <v>7.93</v>
      </c>
      <c r="H288" s="188">
        <v>0.75</v>
      </c>
      <c r="I288" s="188">
        <v>0.625</v>
      </c>
      <c r="J288" s="71">
        <v>21</v>
      </c>
      <c r="K288" s="76" t="s">
        <v>456</v>
      </c>
      <c r="L288" s="207">
        <v>40</v>
      </c>
      <c r="M288" s="71">
        <v>125.4</v>
      </c>
      <c r="N288" s="104" t="s">
        <v>466</v>
      </c>
      <c r="O288" s="200" t="s">
        <v>504</v>
      </c>
      <c r="Q288" s="269">
        <v>66.260000000000005</v>
      </c>
      <c r="R288" s="213">
        <v>116.07</v>
      </c>
      <c r="S288" s="277">
        <v>58.2</v>
      </c>
      <c r="T288" s="278" t="e">
        <f>Table_1[[#This Row],[Rain_fall (mm)]]/Table_1[[#This Row],[Factors]]</f>
        <v>#VALUE!</v>
      </c>
      <c r="U288" s="278" t="s">
        <v>562</v>
      </c>
      <c r="V288" s="15"/>
      <c r="W288" s="15"/>
      <c r="X288" s="15"/>
      <c r="Y288" s="15"/>
      <c r="Z288" s="16"/>
    </row>
    <row r="289" spans="1:26" ht="50.25" customHeight="1" x14ac:dyDescent="0.35">
      <c r="A289" s="8">
        <v>288</v>
      </c>
      <c r="B289" s="209" t="s">
        <v>314</v>
      </c>
      <c r="C289" s="213" t="s">
        <v>500</v>
      </c>
      <c r="D289" s="210" t="s">
        <v>498</v>
      </c>
      <c r="E289" s="172">
        <v>20.9810207483124</v>
      </c>
      <c r="F289" s="172">
        <v>105.84769416587901</v>
      </c>
      <c r="G289" s="173">
        <v>7.83</v>
      </c>
      <c r="H289" s="188">
        <v>0.75</v>
      </c>
      <c r="I289" s="188">
        <v>0.625</v>
      </c>
      <c r="J289" s="71">
        <v>21</v>
      </c>
      <c r="K289" s="76" t="s">
        <v>456</v>
      </c>
      <c r="L289" s="207">
        <v>40</v>
      </c>
      <c r="M289" s="71">
        <v>125.4</v>
      </c>
      <c r="N289" s="104" t="s">
        <v>466</v>
      </c>
      <c r="O289" s="200" t="s">
        <v>504</v>
      </c>
      <c r="Q289" s="269">
        <v>66.260000000000005</v>
      </c>
      <c r="R289" s="213">
        <v>184.45</v>
      </c>
      <c r="S289" s="277">
        <v>58.2</v>
      </c>
      <c r="T289" s="278" t="e">
        <f>Table_1[[#This Row],[Rain_fall (mm)]]/Table_1[[#This Row],[Factors]]</f>
        <v>#VALUE!</v>
      </c>
      <c r="U289" s="278" t="s">
        <v>562</v>
      </c>
      <c r="V289" s="15"/>
      <c r="W289" s="15"/>
      <c r="X289" s="15"/>
      <c r="Y289" s="15"/>
      <c r="Z289" s="16"/>
    </row>
    <row r="290" spans="1:26" ht="50.25" customHeight="1" x14ac:dyDescent="0.35">
      <c r="A290" s="10">
        <v>289</v>
      </c>
      <c r="B290" s="209" t="s">
        <v>314</v>
      </c>
      <c r="C290" s="213" t="s">
        <v>501</v>
      </c>
      <c r="D290" s="210" t="s">
        <v>498</v>
      </c>
      <c r="E290" s="172">
        <v>21.001183241786599</v>
      </c>
      <c r="F290" s="172">
        <v>105.84127157363601</v>
      </c>
      <c r="G290" s="173">
        <v>6.63</v>
      </c>
      <c r="H290" s="188">
        <v>0.75</v>
      </c>
      <c r="I290" s="188">
        <v>0.625</v>
      </c>
      <c r="J290" s="71">
        <v>21</v>
      </c>
      <c r="K290" s="76" t="s">
        <v>456</v>
      </c>
      <c r="L290" s="207">
        <v>40</v>
      </c>
      <c r="M290" s="71">
        <v>125.4</v>
      </c>
      <c r="N290" s="104" t="s">
        <v>466</v>
      </c>
      <c r="O290" s="200" t="s">
        <v>504</v>
      </c>
      <c r="Q290" s="269">
        <v>66.260000000000005</v>
      </c>
      <c r="R290" s="213">
        <v>99.31</v>
      </c>
      <c r="S290" s="277">
        <v>58.2</v>
      </c>
      <c r="T290" s="278" t="e">
        <f>Table_1[[#This Row],[Rain_fall (mm)]]/Table_1[[#This Row],[Factors]]</f>
        <v>#VALUE!</v>
      </c>
      <c r="U290" s="278" t="s">
        <v>562</v>
      </c>
      <c r="V290" s="15"/>
      <c r="W290" s="15"/>
      <c r="X290" s="15"/>
      <c r="Y290" s="15"/>
      <c r="Z290" s="16"/>
    </row>
    <row r="291" spans="1:26" ht="50.25" customHeight="1" x14ac:dyDescent="0.35">
      <c r="A291" s="8">
        <v>290</v>
      </c>
      <c r="B291" s="209" t="s">
        <v>314</v>
      </c>
      <c r="C291" s="213" t="s">
        <v>554</v>
      </c>
      <c r="D291" s="210" t="s">
        <v>498</v>
      </c>
      <c r="E291" s="172">
        <v>20.988844512446398</v>
      </c>
      <c r="F291" s="172">
        <v>105.87441081249</v>
      </c>
      <c r="G291" s="173">
        <v>10.039999999999999</v>
      </c>
      <c r="H291" s="188">
        <v>0.75</v>
      </c>
      <c r="I291" s="188">
        <v>0.625</v>
      </c>
      <c r="J291" s="71">
        <v>21</v>
      </c>
      <c r="K291" s="76" t="s">
        <v>456</v>
      </c>
      <c r="L291" s="207">
        <v>40</v>
      </c>
      <c r="M291" s="71">
        <v>125.4</v>
      </c>
      <c r="N291" s="104" t="s">
        <v>466</v>
      </c>
      <c r="O291" s="200" t="s">
        <v>504</v>
      </c>
      <c r="Q291" s="269">
        <v>66.260000000000005</v>
      </c>
      <c r="R291" s="213">
        <v>239.95</v>
      </c>
      <c r="S291" s="277">
        <v>58.2</v>
      </c>
      <c r="T291" s="278" t="e">
        <f>Table_1[[#This Row],[Rain_fall (mm)]]/Table_1[[#This Row],[Factors]]</f>
        <v>#VALUE!</v>
      </c>
      <c r="U291" s="278" t="s">
        <v>562</v>
      </c>
      <c r="V291" s="15"/>
      <c r="W291" s="15"/>
      <c r="X291" s="15"/>
      <c r="Y291" s="15"/>
      <c r="Z291" s="16"/>
    </row>
    <row r="292" spans="1:26" ht="50.25" customHeight="1" x14ac:dyDescent="0.35">
      <c r="A292" s="10">
        <v>291</v>
      </c>
      <c r="B292" s="209" t="s">
        <v>314</v>
      </c>
      <c r="C292" s="213" t="s">
        <v>503</v>
      </c>
      <c r="D292" s="210" t="s">
        <v>498</v>
      </c>
      <c r="E292" s="172">
        <v>20.988844512446398</v>
      </c>
      <c r="F292" s="172">
        <v>105.87441081249</v>
      </c>
      <c r="G292" s="173">
        <v>10.039999999999999</v>
      </c>
      <c r="H292" s="188">
        <v>0.75</v>
      </c>
      <c r="I292" s="188">
        <v>0.625</v>
      </c>
      <c r="J292" s="71">
        <v>21</v>
      </c>
      <c r="K292" s="76" t="s">
        <v>456</v>
      </c>
      <c r="L292" s="207">
        <v>40</v>
      </c>
      <c r="M292" s="71">
        <v>125.4</v>
      </c>
      <c r="N292" s="104" t="s">
        <v>466</v>
      </c>
      <c r="O292" s="200" t="s">
        <v>504</v>
      </c>
      <c r="Q292" s="269">
        <v>66.260000000000005</v>
      </c>
      <c r="R292" s="213">
        <v>239.95</v>
      </c>
      <c r="S292" s="277">
        <v>58.2</v>
      </c>
      <c r="T292" s="278" t="e">
        <f>Table_1[[#This Row],[Rain_fall (mm)]]/Table_1[[#This Row],[Factors]]</f>
        <v>#VALUE!</v>
      </c>
      <c r="U292" s="278" t="s">
        <v>562</v>
      </c>
      <c r="V292" s="15"/>
      <c r="W292" s="15"/>
      <c r="X292" s="15"/>
      <c r="Y292" s="15"/>
      <c r="Z292" s="16"/>
    </row>
    <row r="293" spans="1:26" ht="50.25" customHeight="1" x14ac:dyDescent="0.35">
      <c r="A293" s="8">
        <v>292</v>
      </c>
      <c r="B293" s="160" t="s">
        <v>88</v>
      </c>
      <c r="C293" s="212" t="s">
        <v>502</v>
      </c>
      <c r="D293" s="202" t="s">
        <v>498</v>
      </c>
      <c r="E293" s="172">
        <v>20.9883883379316</v>
      </c>
      <c r="F293" s="172">
        <v>105.793022750536</v>
      </c>
      <c r="G293" s="173">
        <v>9.8800000000000008</v>
      </c>
      <c r="H293" s="188">
        <v>0.75</v>
      </c>
      <c r="I293" s="188">
        <v>0.625</v>
      </c>
      <c r="J293" s="71">
        <v>21</v>
      </c>
      <c r="K293" s="76" t="s">
        <v>456</v>
      </c>
      <c r="L293" s="71">
        <v>40</v>
      </c>
      <c r="M293" s="71">
        <v>121.9</v>
      </c>
      <c r="N293" s="104" t="s">
        <v>466</v>
      </c>
      <c r="O293" s="200" t="s">
        <v>504</v>
      </c>
      <c r="Q293" s="269">
        <v>66.260000000000005</v>
      </c>
      <c r="R293" s="213">
        <v>109.39</v>
      </c>
      <c r="S293" s="277">
        <v>58.2</v>
      </c>
      <c r="T293" s="278" t="e">
        <f>Table_1[[#This Row],[Rain_fall (mm)]]/Table_1[[#This Row],[Factors]]</f>
        <v>#VALUE!</v>
      </c>
      <c r="U293" s="278" t="s">
        <v>562</v>
      </c>
      <c r="V293" s="15"/>
      <c r="W293" s="15"/>
      <c r="X293" s="15"/>
      <c r="Y293" s="15"/>
      <c r="Z293" s="16"/>
    </row>
    <row r="294" spans="1:26" ht="50.25" customHeight="1" x14ac:dyDescent="0.35">
      <c r="A294" s="10">
        <v>293</v>
      </c>
      <c r="B294" s="160" t="s">
        <v>309</v>
      </c>
      <c r="C294" s="208" t="s">
        <v>505</v>
      </c>
      <c r="D294" s="202" t="s">
        <v>497</v>
      </c>
      <c r="E294" s="255">
        <v>21.043105726540499</v>
      </c>
      <c r="F294" s="172">
        <v>105.823097276854</v>
      </c>
      <c r="G294" s="173">
        <v>9.52</v>
      </c>
      <c r="H294" s="188">
        <v>0.75</v>
      </c>
      <c r="I294" s="188">
        <v>0.83333333333333337</v>
      </c>
      <c r="J294" s="71">
        <v>2</v>
      </c>
      <c r="K294" s="76" t="s">
        <v>456</v>
      </c>
      <c r="L294" s="71">
        <v>40</v>
      </c>
      <c r="M294" s="71">
        <v>57</v>
      </c>
      <c r="N294" s="104" t="s">
        <v>466</v>
      </c>
      <c r="O294" s="200" t="s">
        <v>506</v>
      </c>
      <c r="Q294" s="269">
        <v>30.66</v>
      </c>
      <c r="R294" s="213">
        <v>67.12</v>
      </c>
      <c r="S294" s="277">
        <v>25.6</v>
      </c>
      <c r="T294" s="278" t="e">
        <f>Table_1[[#This Row],[Rain_fall (mm)]]/Table_1[[#This Row],[Factors]]</f>
        <v>#VALUE!</v>
      </c>
      <c r="U294" s="278" t="s">
        <v>562</v>
      </c>
      <c r="V294" s="15"/>
      <c r="W294" s="15"/>
      <c r="X294" s="15"/>
      <c r="Y294" s="15"/>
      <c r="Z294" s="16"/>
    </row>
    <row r="295" spans="1:26" ht="50.25" customHeight="1" x14ac:dyDescent="0.35">
      <c r="A295" s="8">
        <v>294</v>
      </c>
      <c r="B295" s="160" t="s">
        <v>197</v>
      </c>
      <c r="C295" s="211" t="s">
        <v>507</v>
      </c>
      <c r="D295" s="202" t="s">
        <v>497</v>
      </c>
      <c r="E295" s="172">
        <v>21.0365925699267</v>
      </c>
      <c r="F295" s="172">
        <v>105.850259611909</v>
      </c>
      <c r="G295" s="173">
        <v>16.010000000000002</v>
      </c>
      <c r="H295" s="188">
        <v>0.75</v>
      </c>
      <c r="I295" s="188">
        <v>0.83333333333333337</v>
      </c>
      <c r="J295" s="71">
        <v>2</v>
      </c>
      <c r="K295" s="76" t="s">
        <v>456</v>
      </c>
      <c r="L295" s="71">
        <v>40</v>
      </c>
      <c r="M295" s="71">
        <v>61.8</v>
      </c>
      <c r="N295" s="104" t="s">
        <v>466</v>
      </c>
      <c r="O295" s="200" t="s">
        <v>506</v>
      </c>
      <c r="Q295" s="269">
        <v>30.66</v>
      </c>
      <c r="R295" s="213">
        <v>541.41999999999996</v>
      </c>
      <c r="S295" s="277">
        <v>25.6</v>
      </c>
      <c r="T295" s="278" t="e">
        <f>Table_1[[#This Row],[Rain_fall (mm)]]/Table_1[[#This Row],[Factors]]</f>
        <v>#VALUE!</v>
      </c>
      <c r="U295" s="278" t="s">
        <v>562</v>
      </c>
      <c r="V295" s="15"/>
      <c r="W295" s="15"/>
      <c r="X295" s="15"/>
      <c r="Y295" s="15"/>
      <c r="Z295" s="16"/>
    </row>
    <row r="296" spans="1:26" ht="50.25" customHeight="1" x14ac:dyDescent="0.35">
      <c r="A296" s="10">
        <v>295</v>
      </c>
      <c r="B296" s="209" t="s">
        <v>197</v>
      </c>
      <c r="C296" s="214" t="s">
        <v>508</v>
      </c>
      <c r="D296" s="210" t="s">
        <v>497</v>
      </c>
      <c r="E296" s="172">
        <v>21.035107569252901</v>
      </c>
      <c r="F296" s="172">
        <v>105.853055481223</v>
      </c>
      <c r="G296" s="173">
        <v>15.3</v>
      </c>
      <c r="H296" s="188">
        <v>0.75</v>
      </c>
      <c r="I296" s="188">
        <v>0.83333333333333337</v>
      </c>
      <c r="J296" s="71">
        <v>2</v>
      </c>
      <c r="K296" s="76" t="s">
        <v>456</v>
      </c>
      <c r="L296" s="71">
        <v>40</v>
      </c>
      <c r="M296" s="71">
        <v>61.8</v>
      </c>
      <c r="N296" s="104" t="s">
        <v>466</v>
      </c>
      <c r="O296" s="200" t="s">
        <v>506</v>
      </c>
      <c r="Q296" s="269">
        <v>30.66</v>
      </c>
      <c r="R296" s="213">
        <v>394.61</v>
      </c>
      <c r="S296" s="277">
        <v>25.6</v>
      </c>
      <c r="T296" s="278" t="e">
        <f>Table_1[[#This Row],[Rain_fall (mm)]]/Table_1[[#This Row],[Factors]]</f>
        <v>#VALUE!</v>
      </c>
      <c r="U296" s="278" t="s">
        <v>562</v>
      </c>
      <c r="V296" s="15"/>
      <c r="W296" s="15"/>
      <c r="X296" s="15"/>
      <c r="Y296" s="15"/>
      <c r="Z296" s="16"/>
    </row>
    <row r="297" spans="1:26" ht="50.25" customHeight="1" x14ac:dyDescent="0.35">
      <c r="A297" s="8">
        <v>296</v>
      </c>
      <c r="B297" s="209" t="s">
        <v>197</v>
      </c>
      <c r="C297" s="213" t="s">
        <v>509</v>
      </c>
      <c r="D297" s="210" t="s">
        <v>497</v>
      </c>
      <c r="E297" s="172">
        <v>21.032808897445001</v>
      </c>
      <c r="F297" s="172">
        <v>105.84643932151999</v>
      </c>
      <c r="G297" s="173">
        <v>15.29</v>
      </c>
      <c r="H297" s="188">
        <v>0.75</v>
      </c>
      <c r="I297" s="188">
        <v>0.83333333333333337</v>
      </c>
      <c r="J297" s="71">
        <v>2</v>
      </c>
      <c r="K297" s="76" t="s">
        <v>456</v>
      </c>
      <c r="L297" s="71">
        <v>40</v>
      </c>
      <c r="M297" s="71">
        <v>61.8</v>
      </c>
      <c r="N297" s="104" t="s">
        <v>466</v>
      </c>
      <c r="O297" s="200" t="s">
        <v>506</v>
      </c>
      <c r="Q297" s="269">
        <v>30.66</v>
      </c>
      <c r="R297" s="213">
        <v>526.1</v>
      </c>
      <c r="S297" s="277">
        <v>25.6</v>
      </c>
      <c r="T297" s="278" t="e">
        <f>Table_1[[#This Row],[Rain_fall (mm)]]/Table_1[[#This Row],[Factors]]</f>
        <v>#VALUE!</v>
      </c>
      <c r="U297" s="278" t="s">
        <v>562</v>
      </c>
      <c r="V297" s="15"/>
      <c r="W297" s="15"/>
      <c r="X297" s="15"/>
      <c r="Y297" s="15"/>
      <c r="Z297" s="16"/>
    </row>
    <row r="298" spans="1:26" ht="50.25" customHeight="1" x14ac:dyDescent="0.35">
      <c r="A298" s="10">
        <v>297</v>
      </c>
      <c r="B298" s="209" t="s">
        <v>314</v>
      </c>
      <c r="C298" s="213" t="s">
        <v>151</v>
      </c>
      <c r="D298" s="210" t="s">
        <v>497</v>
      </c>
      <c r="E298" s="172">
        <v>21.000369537263701</v>
      </c>
      <c r="F298" s="172">
        <v>105.831285254237</v>
      </c>
      <c r="G298" s="173">
        <v>7.69</v>
      </c>
      <c r="H298" s="188">
        <v>0.75</v>
      </c>
      <c r="I298" s="188">
        <v>0.83333333333333337</v>
      </c>
      <c r="J298" s="71">
        <v>2</v>
      </c>
      <c r="K298" s="76" t="s">
        <v>456</v>
      </c>
      <c r="L298" s="71">
        <v>40</v>
      </c>
      <c r="M298" s="71">
        <v>61.8</v>
      </c>
      <c r="N298" s="104" t="s">
        <v>466</v>
      </c>
      <c r="O298" s="200" t="s">
        <v>506</v>
      </c>
      <c r="Q298" s="269">
        <v>30.66</v>
      </c>
      <c r="R298" s="213">
        <v>112.62</v>
      </c>
      <c r="S298" s="277">
        <v>25.6</v>
      </c>
      <c r="T298" s="278" t="e">
        <f>Table_1[[#This Row],[Rain_fall (mm)]]/Table_1[[#This Row],[Factors]]</f>
        <v>#VALUE!</v>
      </c>
      <c r="U298" s="278" t="s">
        <v>562</v>
      </c>
      <c r="V298" s="15"/>
      <c r="W298" s="15"/>
      <c r="X298" s="15"/>
      <c r="Y298" s="15"/>
      <c r="Z298" s="16"/>
    </row>
    <row r="299" spans="1:26" ht="50.25" customHeight="1" x14ac:dyDescent="0.35">
      <c r="A299" s="8">
        <v>298</v>
      </c>
      <c r="B299" s="209" t="s">
        <v>314</v>
      </c>
      <c r="C299" s="215" t="s">
        <v>500</v>
      </c>
      <c r="D299" s="210" t="s">
        <v>497</v>
      </c>
      <c r="E299" s="172">
        <v>20.9809706111404</v>
      </c>
      <c r="F299" s="172">
        <v>105.847919452198</v>
      </c>
      <c r="G299" s="173">
        <v>7.8</v>
      </c>
      <c r="H299" s="188">
        <v>0.75</v>
      </c>
      <c r="I299" s="188">
        <v>0.83333333333333337</v>
      </c>
      <c r="J299" s="71">
        <v>2</v>
      </c>
      <c r="K299" s="76" t="s">
        <v>456</v>
      </c>
      <c r="L299" s="71">
        <v>40</v>
      </c>
      <c r="M299" s="71">
        <v>56.8</v>
      </c>
      <c r="N299" s="104" t="s">
        <v>466</v>
      </c>
      <c r="O299" s="200" t="s">
        <v>506</v>
      </c>
      <c r="Q299" s="269">
        <v>30.66</v>
      </c>
      <c r="R299" s="213">
        <v>208.48</v>
      </c>
      <c r="S299" s="277">
        <v>25.6</v>
      </c>
      <c r="T299" s="278" t="e">
        <f>Table_1[[#This Row],[Rain_fall (mm)]]/Table_1[[#This Row],[Factors]]</f>
        <v>#VALUE!</v>
      </c>
      <c r="U299" s="278" t="s">
        <v>562</v>
      </c>
      <c r="V299" s="15"/>
      <c r="W299" s="15"/>
      <c r="X299" s="15"/>
      <c r="Y299" s="15"/>
      <c r="Z299" s="16"/>
    </row>
    <row r="300" spans="1:26" ht="50.25" customHeight="1" x14ac:dyDescent="0.35">
      <c r="A300" s="10">
        <v>299</v>
      </c>
      <c r="B300" s="209" t="s">
        <v>314</v>
      </c>
      <c r="C300" s="215" t="s">
        <v>331</v>
      </c>
      <c r="D300" s="210" t="s">
        <v>497</v>
      </c>
      <c r="E300" s="172">
        <v>20.9866217565794</v>
      </c>
      <c r="F300" s="172">
        <v>105.87647135767099</v>
      </c>
      <c r="G300" s="173">
        <v>9.92</v>
      </c>
      <c r="H300" s="188">
        <v>0.75</v>
      </c>
      <c r="I300" s="188">
        <v>0.83333333333333337</v>
      </c>
      <c r="J300" s="71">
        <v>2</v>
      </c>
      <c r="K300" s="76" t="s">
        <v>456</v>
      </c>
      <c r="L300" s="71">
        <v>40</v>
      </c>
      <c r="M300" s="71">
        <v>56.8</v>
      </c>
      <c r="N300" s="104" t="s">
        <v>466</v>
      </c>
      <c r="O300" s="200" t="s">
        <v>506</v>
      </c>
      <c r="Q300" s="269">
        <v>30.66</v>
      </c>
      <c r="R300" s="213">
        <v>552.67999999999995</v>
      </c>
      <c r="S300" s="277">
        <v>73.2</v>
      </c>
      <c r="T300" s="278" t="e">
        <f>Table_1[[#This Row],[Rain_fall (mm)]]/Table_1[[#This Row],[Factors]]</f>
        <v>#VALUE!</v>
      </c>
      <c r="U300" s="278" t="s">
        <v>562</v>
      </c>
      <c r="V300" s="15"/>
      <c r="W300" s="15"/>
      <c r="X300" s="15"/>
      <c r="Y300" s="15"/>
      <c r="Z300" s="16"/>
    </row>
    <row r="301" spans="1:26" ht="50.25" customHeight="1" x14ac:dyDescent="0.35">
      <c r="A301" s="8">
        <v>300</v>
      </c>
      <c r="B301" s="160" t="s">
        <v>197</v>
      </c>
      <c r="C301" s="212" t="s">
        <v>511</v>
      </c>
      <c r="D301" s="202" t="s">
        <v>510</v>
      </c>
      <c r="E301" s="172">
        <v>21.034728994988001</v>
      </c>
      <c r="F301" s="172">
        <v>105.845637790834</v>
      </c>
      <c r="G301" s="173">
        <v>7.83</v>
      </c>
      <c r="H301" s="188">
        <v>0.54166666666666663</v>
      </c>
      <c r="I301" s="188">
        <v>0.5625</v>
      </c>
      <c r="J301" s="71">
        <v>0.5</v>
      </c>
      <c r="K301" s="76" t="s">
        <v>456</v>
      </c>
      <c r="L301" s="71">
        <v>60</v>
      </c>
      <c r="M301" s="71">
        <v>70</v>
      </c>
      <c r="N301" s="104" t="s">
        <v>469</v>
      </c>
      <c r="O301" s="200" t="s">
        <v>512</v>
      </c>
      <c r="Q301" s="269">
        <v>4.72</v>
      </c>
      <c r="R301" s="213">
        <v>695.18</v>
      </c>
      <c r="S301" s="277">
        <v>2.2999999999999998</v>
      </c>
      <c r="T301" s="278" t="e">
        <f>Table_1[[#This Row],[Rain_fall (mm)]]/Table_1[[#This Row],[Factors]]</f>
        <v>#VALUE!</v>
      </c>
      <c r="U301" s="278" t="s">
        <v>562</v>
      </c>
      <c r="V301" s="15"/>
      <c r="W301" s="15"/>
      <c r="X301" s="15"/>
      <c r="Y301" s="15"/>
      <c r="Z301" s="16"/>
    </row>
    <row r="302" spans="1:26" ht="50.25" customHeight="1" x14ac:dyDescent="0.35">
      <c r="A302" s="10">
        <v>301</v>
      </c>
      <c r="B302" s="160" t="s">
        <v>197</v>
      </c>
      <c r="C302" s="168" t="s">
        <v>373</v>
      </c>
      <c r="D302" s="202" t="s">
        <v>510</v>
      </c>
      <c r="E302" s="255">
        <v>21.025607448565498</v>
      </c>
      <c r="F302" s="172">
        <v>105.843342936862</v>
      </c>
      <c r="G302" s="173">
        <v>8.91</v>
      </c>
      <c r="H302" s="188">
        <v>0.54166666666666663</v>
      </c>
      <c r="I302" s="188">
        <v>0.5625</v>
      </c>
      <c r="J302" s="71">
        <v>0.5</v>
      </c>
      <c r="K302" s="76" t="s">
        <v>456</v>
      </c>
      <c r="L302" s="71">
        <v>60</v>
      </c>
      <c r="M302" s="71">
        <v>70</v>
      </c>
      <c r="N302" s="104" t="s">
        <v>469</v>
      </c>
      <c r="O302" s="200" t="s">
        <v>512</v>
      </c>
      <c r="Q302" s="269">
        <v>4.72</v>
      </c>
      <c r="R302" s="213">
        <v>285.3</v>
      </c>
      <c r="S302" s="277">
        <v>2.2999999999999998</v>
      </c>
      <c r="T302" s="278" t="e">
        <f>Table_1[[#This Row],[Rain_fall (mm)]]/Table_1[[#This Row],[Factors]]</f>
        <v>#VALUE!</v>
      </c>
      <c r="U302" s="278" t="s">
        <v>562</v>
      </c>
      <c r="V302" s="15"/>
      <c r="W302" s="15"/>
      <c r="X302" s="15"/>
      <c r="Y302" s="15"/>
      <c r="Z302" s="16"/>
    </row>
    <row r="303" spans="1:26" ht="50.25" customHeight="1" x14ac:dyDescent="0.35">
      <c r="A303" s="8">
        <v>302</v>
      </c>
      <c r="B303" s="160" t="s">
        <v>57</v>
      </c>
      <c r="C303" s="211" t="s">
        <v>514</v>
      </c>
      <c r="D303" s="202" t="s">
        <v>510</v>
      </c>
      <c r="E303" s="172">
        <v>21.008012158177301</v>
      </c>
      <c r="F303" s="172">
        <v>105.83894690013101</v>
      </c>
      <c r="G303" s="173">
        <v>8.0299999999999994</v>
      </c>
      <c r="H303" s="188">
        <v>0.54166666666666663</v>
      </c>
      <c r="I303" s="188">
        <v>0.5625</v>
      </c>
      <c r="J303" s="71">
        <v>0.5</v>
      </c>
      <c r="K303" s="76" t="s">
        <v>456</v>
      </c>
      <c r="L303" s="71">
        <v>10</v>
      </c>
      <c r="M303" s="71">
        <v>70</v>
      </c>
      <c r="N303" s="104" t="s">
        <v>466</v>
      </c>
      <c r="O303" s="200" t="s">
        <v>512</v>
      </c>
      <c r="Q303" s="269">
        <v>4.72</v>
      </c>
      <c r="R303" s="213">
        <v>172.03</v>
      </c>
      <c r="S303" s="277">
        <v>9.6999999999999993</v>
      </c>
      <c r="T303" s="278" t="e">
        <f>Table_1[[#This Row],[Rain_fall (mm)]]/Table_1[[#This Row],[Factors]]</f>
        <v>#VALUE!</v>
      </c>
      <c r="U303" s="278" t="s">
        <v>562</v>
      </c>
      <c r="V303" s="15"/>
      <c r="W303" s="15"/>
      <c r="X303" s="15"/>
      <c r="Y303" s="15"/>
      <c r="Z303" s="16"/>
    </row>
    <row r="304" spans="1:26" ht="50.25" customHeight="1" x14ac:dyDescent="0.35">
      <c r="A304" s="10">
        <v>303</v>
      </c>
      <c r="B304" s="209" t="s">
        <v>350</v>
      </c>
      <c r="C304" s="216" t="s">
        <v>367</v>
      </c>
      <c r="D304" s="210" t="s">
        <v>513</v>
      </c>
      <c r="E304" s="172">
        <v>21.042704934540801</v>
      </c>
      <c r="F304" s="172">
        <v>105.88732316958099</v>
      </c>
      <c r="G304" s="173">
        <v>6.75</v>
      </c>
      <c r="H304" s="188">
        <v>0.83333333333333337</v>
      </c>
      <c r="I304" s="188">
        <v>0.25</v>
      </c>
      <c r="J304" s="71">
        <v>10</v>
      </c>
      <c r="K304" s="76" t="s">
        <v>456</v>
      </c>
      <c r="L304" s="71">
        <v>60</v>
      </c>
      <c r="M304" s="71">
        <v>200</v>
      </c>
      <c r="N304" s="104" t="s">
        <v>466</v>
      </c>
      <c r="O304" s="200" t="s">
        <v>512</v>
      </c>
      <c r="Q304" s="269">
        <v>31.03</v>
      </c>
      <c r="R304" s="213">
        <v>143.74</v>
      </c>
      <c r="S304" s="277">
        <v>14.8</v>
      </c>
      <c r="T304" s="278" t="e">
        <f>Table_1[[#This Row],[Rain_fall (mm)]]/Table_1[[#This Row],[Factors]]</f>
        <v>#VALUE!</v>
      </c>
      <c r="U304" s="278" t="s">
        <v>562</v>
      </c>
      <c r="V304" s="15"/>
      <c r="W304" s="15"/>
      <c r="X304" s="15"/>
      <c r="Y304" s="15"/>
      <c r="Z304" s="16"/>
    </row>
    <row r="305" spans="1:26" ht="50.25" customHeight="1" x14ac:dyDescent="0.35">
      <c r="A305" s="8">
        <v>304</v>
      </c>
      <c r="B305" s="209" t="s">
        <v>350</v>
      </c>
      <c r="C305" s="216" t="s">
        <v>515</v>
      </c>
      <c r="D305" s="210" t="s">
        <v>513</v>
      </c>
      <c r="E305" s="255">
        <v>21.045111798185001</v>
      </c>
      <c r="F305" s="172">
        <v>105.868541313969</v>
      </c>
      <c r="G305" s="173">
        <v>8.91</v>
      </c>
      <c r="H305" s="188">
        <v>0.83333333333333337</v>
      </c>
      <c r="I305" s="188">
        <v>0.25</v>
      </c>
      <c r="J305" s="71">
        <v>10</v>
      </c>
      <c r="K305" s="76" t="s">
        <v>456</v>
      </c>
      <c r="L305" s="71">
        <v>50</v>
      </c>
      <c r="M305" s="71">
        <v>200</v>
      </c>
      <c r="N305" s="104" t="s">
        <v>466</v>
      </c>
      <c r="O305" s="200" t="s">
        <v>512</v>
      </c>
      <c r="Q305" s="269">
        <v>31.03</v>
      </c>
      <c r="R305" s="213">
        <v>108.61</v>
      </c>
      <c r="S305" s="277">
        <v>8.9</v>
      </c>
      <c r="T305" s="278" t="e">
        <f>Table_1[[#This Row],[Rain_fall (mm)]]/Table_1[[#This Row],[Factors]]</f>
        <v>#VALUE!</v>
      </c>
      <c r="U305" s="278" t="s">
        <v>562</v>
      </c>
      <c r="V305" s="15"/>
      <c r="W305" s="15"/>
      <c r="X305" s="15"/>
      <c r="Y305" s="15"/>
      <c r="Z305" s="16"/>
    </row>
    <row r="306" spans="1:26" ht="50.25" customHeight="1" x14ac:dyDescent="0.35">
      <c r="A306" s="10">
        <v>305</v>
      </c>
      <c r="B306" s="209" t="s">
        <v>350</v>
      </c>
      <c r="C306" s="216" t="s">
        <v>516</v>
      </c>
      <c r="D306" s="210" t="s">
        <v>513</v>
      </c>
      <c r="E306" s="172">
        <v>21.024725445028199</v>
      </c>
      <c r="F306" s="172">
        <v>105.90205076958</v>
      </c>
      <c r="G306" s="173">
        <v>7.01</v>
      </c>
      <c r="H306" s="188">
        <v>0.83333333333333337</v>
      </c>
      <c r="I306" s="188">
        <v>0.25</v>
      </c>
      <c r="J306" s="71">
        <v>10</v>
      </c>
      <c r="K306" s="76" t="s">
        <v>456</v>
      </c>
      <c r="L306" s="71">
        <v>50</v>
      </c>
      <c r="M306" s="71">
        <v>200</v>
      </c>
      <c r="N306" s="104" t="s">
        <v>466</v>
      </c>
      <c r="O306" s="200" t="s">
        <v>512</v>
      </c>
      <c r="Q306" s="269">
        <v>31.03</v>
      </c>
      <c r="R306" s="213">
        <v>502.88</v>
      </c>
      <c r="S306" s="277">
        <v>14.8</v>
      </c>
      <c r="T306" s="278" t="e">
        <f>Table_1[[#This Row],[Rain_fall (mm)]]/Table_1[[#This Row],[Factors]]</f>
        <v>#VALUE!</v>
      </c>
      <c r="U306" s="278" t="s">
        <v>562</v>
      </c>
      <c r="V306" s="15"/>
      <c r="W306" s="15"/>
      <c r="X306" s="15"/>
      <c r="Y306" s="15"/>
      <c r="Z306" s="16"/>
    </row>
    <row r="307" spans="1:26" ht="50.25" customHeight="1" x14ac:dyDescent="0.35">
      <c r="A307" s="8">
        <v>306</v>
      </c>
      <c r="B307" s="209" t="s">
        <v>350</v>
      </c>
      <c r="C307" s="216" t="s">
        <v>517</v>
      </c>
      <c r="D307" s="210" t="s">
        <v>513</v>
      </c>
      <c r="E307" s="172">
        <v>21.035536688278199</v>
      </c>
      <c r="F307" s="172">
        <v>105.90305188122301</v>
      </c>
      <c r="G307" s="173">
        <v>7.33</v>
      </c>
      <c r="H307" s="188">
        <v>0.83333333333333337</v>
      </c>
      <c r="I307" s="188">
        <v>0.25</v>
      </c>
      <c r="J307" s="71">
        <v>10</v>
      </c>
      <c r="K307" s="76" t="s">
        <v>456</v>
      </c>
      <c r="L307" s="71">
        <v>50</v>
      </c>
      <c r="M307" s="71">
        <v>200</v>
      </c>
      <c r="N307" s="104" t="s">
        <v>466</v>
      </c>
      <c r="O307" s="200" t="s">
        <v>512</v>
      </c>
      <c r="Q307" s="269">
        <v>31.03</v>
      </c>
      <c r="R307" s="213">
        <v>74.42</v>
      </c>
      <c r="S307" s="277">
        <v>14.8</v>
      </c>
      <c r="T307" s="278" t="e">
        <f>Table_1[[#This Row],[Rain_fall (mm)]]/Table_1[[#This Row],[Factors]]</f>
        <v>#VALUE!</v>
      </c>
      <c r="U307" s="278" t="s">
        <v>562</v>
      </c>
      <c r="V307" s="15"/>
      <c r="W307" s="15"/>
      <c r="X307" s="15"/>
      <c r="Y307" s="15"/>
      <c r="Z307" s="16"/>
    </row>
    <row r="308" spans="1:26" ht="50.25" customHeight="1" x14ac:dyDescent="0.35">
      <c r="A308" s="10">
        <v>307</v>
      </c>
      <c r="B308" s="160" t="s">
        <v>350</v>
      </c>
      <c r="C308" s="212" t="s">
        <v>518</v>
      </c>
      <c r="D308" s="202" t="s">
        <v>513</v>
      </c>
      <c r="E308" s="172">
        <v>21.040747964057399</v>
      </c>
      <c r="F308" s="172">
        <v>105.877768498416</v>
      </c>
      <c r="G308" s="173">
        <v>6.8</v>
      </c>
      <c r="H308" s="188">
        <v>0.83333333333333337</v>
      </c>
      <c r="I308" s="188">
        <v>0.25</v>
      </c>
      <c r="J308" s="71">
        <v>10</v>
      </c>
      <c r="K308" s="76" t="s">
        <v>456</v>
      </c>
      <c r="L308" s="71">
        <v>30</v>
      </c>
      <c r="M308" s="71">
        <v>200</v>
      </c>
      <c r="N308" s="104" t="s">
        <v>466</v>
      </c>
      <c r="O308" s="200" t="s">
        <v>512</v>
      </c>
      <c r="Q308" s="269">
        <v>31.03</v>
      </c>
      <c r="R308" s="213">
        <v>42.96</v>
      </c>
      <c r="S308" s="277">
        <v>14.8</v>
      </c>
      <c r="T308" s="278" t="e">
        <f>Table_1[[#This Row],[Rain_fall (mm)]]/Table_1[[#This Row],[Factors]]</f>
        <v>#VALUE!</v>
      </c>
      <c r="U308" s="278" t="s">
        <v>562</v>
      </c>
      <c r="V308" s="15"/>
      <c r="W308" s="15"/>
      <c r="X308" s="15"/>
      <c r="Y308" s="15"/>
      <c r="Z308" s="16"/>
    </row>
    <row r="309" spans="1:26" ht="50.25" customHeight="1" x14ac:dyDescent="0.35">
      <c r="A309" s="8">
        <v>308</v>
      </c>
      <c r="B309" s="160" t="s">
        <v>314</v>
      </c>
      <c r="C309" s="168" t="s">
        <v>337</v>
      </c>
      <c r="D309" s="202" t="s">
        <v>513</v>
      </c>
      <c r="E309" s="172">
        <v>20.983740716023402</v>
      </c>
      <c r="F309" s="172">
        <v>105.847989786494</v>
      </c>
      <c r="G309" s="173">
        <v>7.86</v>
      </c>
      <c r="H309" s="188">
        <v>0.83333333333333337</v>
      </c>
      <c r="I309" s="188">
        <v>0.25</v>
      </c>
      <c r="J309" s="71">
        <v>10</v>
      </c>
      <c r="K309" s="76" t="s">
        <v>456</v>
      </c>
      <c r="L309" s="71">
        <v>60</v>
      </c>
      <c r="M309" s="71">
        <v>160</v>
      </c>
      <c r="N309" s="104" t="s">
        <v>466</v>
      </c>
      <c r="O309" s="200" t="s">
        <v>512</v>
      </c>
      <c r="Q309" s="269">
        <v>31.03</v>
      </c>
      <c r="R309" s="213">
        <v>264.27999999999997</v>
      </c>
      <c r="S309" s="277">
        <v>8.9</v>
      </c>
      <c r="T309" s="278" t="e">
        <f>Table_1[[#This Row],[Rain_fall (mm)]]/Table_1[[#This Row],[Factors]]</f>
        <v>#VALUE!</v>
      </c>
      <c r="U309" s="278" t="s">
        <v>562</v>
      </c>
      <c r="V309" s="15"/>
      <c r="W309" s="15"/>
      <c r="X309" s="15"/>
      <c r="Y309" s="15"/>
      <c r="Z309" s="16"/>
    </row>
    <row r="310" spans="1:26" ht="50.25" customHeight="1" x14ac:dyDescent="0.35">
      <c r="A310" s="10">
        <v>309</v>
      </c>
      <c r="B310" s="160" t="s">
        <v>314</v>
      </c>
      <c r="C310" s="168" t="s">
        <v>72</v>
      </c>
      <c r="D310" s="202" t="s">
        <v>513</v>
      </c>
      <c r="E310" s="172">
        <v>21.000247740079701</v>
      </c>
      <c r="F310" s="172">
        <v>105.869471811908</v>
      </c>
      <c r="G310" s="173">
        <v>8.76</v>
      </c>
      <c r="H310" s="188">
        <v>0.83333333333333337</v>
      </c>
      <c r="I310" s="188">
        <v>0.25</v>
      </c>
      <c r="J310" s="71">
        <v>10</v>
      </c>
      <c r="K310" s="76" t="s">
        <v>456</v>
      </c>
      <c r="L310" s="71">
        <v>20</v>
      </c>
      <c r="M310" s="71">
        <v>160</v>
      </c>
      <c r="N310" s="104" t="s">
        <v>466</v>
      </c>
      <c r="O310" s="200" t="s">
        <v>512</v>
      </c>
      <c r="Q310" s="269">
        <v>31.03</v>
      </c>
      <c r="R310" s="213">
        <v>415.09</v>
      </c>
      <c r="S310" s="277">
        <v>8.9</v>
      </c>
      <c r="T310" s="278" t="e">
        <f>Table_1[[#This Row],[Rain_fall (mm)]]/Table_1[[#This Row],[Factors]]</f>
        <v>#VALUE!</v>
      </c>
      <c r="U310" s="278" t="s">
        <v>562</v>
      </c>
      <c r="V310" s="15"/>
      <c r="W310" s="15"/>
      <c r="X310" s="15"/>
      <c r="Y310" s="15"/>
      <c r="Z310" s="16"/>
    </row>
    <row r="311" spans="1:26" ht="50.25" customHeight="1" x14ac:dyDescent="0.35">
      <c r="A311" s="8">
        <v>310</v>
      </c>
      <c r="B311" s="160" t="s">
        <v>197</v>
      </c>
      <c r="C311" s="168" t="s">
        <v>519</v>
      </c>
      <c r="D311" s="202" t="s">
        <v>513</v>
      </c>
      <c r="E311" s="66">
        <v>21.0219667</v>
      </c>
      <c r="F311" s="66">
        <v>105.8056084</v>
      </c>
      <c r="G311" s="8">
        <v>9.24</v>
      </c>
      <c r="H311" s="188">
        <v>0.83333333333333337</v>
      </c>
      <c r="I311" s="188">
        <v>0.25</v>
      </c>
      <c r="J311" s="71">
        <v>10</v>
      </c>
      <c r="K311" s="76" t="s">
        <v>456</v>
      </c>
      <c r="L311" s="71">
        <v>10</v>
      </c>
      <c r="M311" s="71">
        <v>120</v>
      </c>
      <c r="N311" s="26" t="s">
        <v>472</v>
      </c>
      <c r="O311" s="200" t="s">
        <v>512</v>
      </c>
      <c r="Q311" s="269">
        <v>31.03</v>
      </c>
      <c r="R311" s="213">
        <v>187.72</v>
      </c>
      <c r="S311" s="277">
        <v>8.9</v>
      </c>
      <c r="T311" s="278" t="e">
        <f>Table_1[[#This Row],[Rain_fall (mm)]]/Table_1[[#This Row],[Factors]]</f>
        <v>#VALUE!</v>
      </c>
      <c r="U311" s="278" t="s">
        <v>562</v>
      </c>
      <c r="V311" s="15"/>
      <c r="W311" s="15"/>
      <c r="X311" s="15"/>
      <c r="Y311" s="15"/>
      <c r="Z311" s="16"/>
    </row>
    <row r="312" spans="1:26" ht="50.25" customHeight="1" x14ac:dyDescent="0.35">
      <c r="A312" s="10">
        <v>311</v>
      </c>
      <c r="B312" s="160" t="s">
        <v>197</v>
      </c>
      <c r="C312" s="168" t="s">
        <v>521</v>
      </c>
      <c r="D312" s="202" t="s">
        <v>520</v>
      </c>
      <c r="E312" s="66">
        <v>21.0219667</v>
      </c>
      <c r="F312" s="66">
        <v>105.8056084</v>
      </c>
      <c r="G312" s="8">
        <v>9.24</v>
      </c>
      <c r="H312" s="188">
        <v>0.6875</v>
      </c>
      <c r="I312" s="188">
        <v>0.79166666666666663</v>
      </c>
      <c r="J312" s="71">
        <v>2.5</v>
      </c>
      <c r="K312" s="76" t="s">
        <v>456</v>
      </c>
      <c r="L312" s="71">
        <v>15</v>
      </c>
      <c r="M312" s="71">
        <v>118.5</v>
      </c>
      <c r="N312" s="104" t="s">
        <v>466</v>
      </c>
      <c r="O312" s="200" t="s">
        <v>522</v>
      </c>
      <c r="Q312" s="269">
        <v>2.42</v>
      </c>
      <c r="R312" s="213">
        <v>187.72</v>
      </c>
      <c r="S312" s="277">
        <v>20.5</v>
      </c>
      <c r="T312" s="278" t="e">
        <f>Table_1[[#This Row],[Rain_fall (mm)]]/Table_1[[#This Row],[Factors]]</f>
        <v>#VALUE!</v>
      </c>
      <c r="U312" s="278" t="s">
        <v>562</v>
      </c>
      <c r="V312" s="15"/>
      <c r="W312" s="15"/>
      <c r="X312" s="15"/>
      <c r="Y312" s="15"/>
      <c r="Z312" s="16"/>
    </row>
    <row r="313" spans="1:26" ht="50.25" customHeight="1" x14ac:dyDescent="0.35">
      <c r="A313" s="8">
        <v>312</v>
      </c>
      <c r="B313" s="160" t="s">
        <v>350</v>
      </c>
      <c r="C313" s="168" t="s">
        <v>313</v>
      </c>
      <c r="D313" s="202" t="s">
        <v>520</v>
      </c>
      <c r="E313" s="42">
        <v>21.046618064066202</v>
      </c>
      <c r="F313" s="42">
        <v>105.87738696865</v>
      </c>
      <c r="G313" s="26">
        <v>7.83</v>
      </c>
      <c r="H313" s="188">
        <v>0.6875</v>
      </c>
      <c r="I313" s="188">
        <v>0.79166666666666663</v>
      </c>
      <c r="J313" s="71">
        <v>2.5</v>
      </c>
      <c r="K313" s="76" t="s">
        <v>456</v>
      </c>
      <c r="L313" s="71">
        <v>20</v>
      </c>
      <c r="M313" s="71">
        <v>79.400000000000006</v>
      </c>
      <c r="N313" s="104" t="s">
        <v>466</v>
      </c>
      <c r="O313" s="200" t="s">
        <v>522</v>
      </c>
      <c r="Q313" s="269">
        <v>2.42</v>
      </c>
      <c r="R313" s="213">
        <v>188.16</v>
      </c>
      <c r="S313" s="277">
        <v>22.5</v>
      </c>
      <c r="T313" s="278" t="e">
        <f>Table_1[[#This Row],[Rain_fall (mm)]]/Table_1[[#This Row],[Factors]]</f>
        <v>#VALUE!</v>
      </c>
      <c r="U313" s="278" t="s">
        <v>562</v>
      </c>
      <c r="V313" s="15"/>
      <c r="W313" s="15"/>
      <c r="X313" s="15"/>
      <c r="Y313" s="15"/>
      <c r="Z313" s="16"/>
    </row>
    <row r="314" spans="1:26" ht="50.25" customHeight="1" x14ac:dyDescent="0.35">
      <c r="A314" s="10">
        <v>313</v>
      </c>
      <c r="B314" s="160" t="s">
        <v>197</v>
      </c>
      <c r="C314" s="168" t="s">
        <v>523</v>
      </c>
      <c r="D314" s="202" t="s">
        <v>520</v>
      </c>
      <c r="E314" s="172">
        <v>21.024961802924199</v>
      </c>
      <c r="F314" s="172">
        <v>105.846453283073</v>
      </c>
      <c r="G314" s="173">
        <v>9.3800000000000008</v>
      </c>
      <c r="H314" s="188">
        <v>0.6875</v>
      </c>
      <c r="I314" s="188">
        <v>0.79166666666666663</v>
      </c>
      <c r="J314" s="71">
        <v>2.5</v>
      </c>
      <c r="K314" s="76" t="s">
        <v>456</v>
      </c>
      <c r="L314" s="71">
        <v>10</v>
      </c>
      <c r="M314" s="71">
        <v>118.5</v>
      </c>
      <c r="N314" s="104" t="s">
        <v>466</v>
      </c>
      <c r="O314" s="200" t="s">
        <v>522</v>
      </c>
      <c r="Q314" s="269">
        <v>2.42</v>
      </c>
      <c r="R314" s="213">
        <v>323.86</v>
      </c>
      <c r="S314" s="277">
        <v>20.5</v>
      </c>
      <c r="T314" s="278" t="e">
        <f>Table_1[[#This Row],[Rain_fall (mm)]]/Table_1[[#This Row],[Factors]]</f>
        <v>#VALUE!</v>
      </c>
      <c r="U314" s="278" t="s">
        <v>562</v>
      </c>
      <c r="V314" s="15"/>
      <c r="W314" s="15"/>
      <c r="X314" s="15"/>
      <c r="Y314" s="15"/>
      <c r="Z314" s="16"/>
    </row>
    <row r="315" spans="1:26" ht="50.25" customHeight="1" x14ac:dyDescent="0.35">
      <c r="A315" s="8">
        <v>314</v>
      </c>
      <c r="B315" s="70" t="s">
        <v>13</v>
      </c>
      <c r="C315" s="168" t="s">
        <v>27</v>
      </c>
      <c r="D315" s="202">
        <v>43439</v>
      </c>
      <c r="E315" s="172">
        <v>21.022135549379701</v>
      </c>
      <c r="F315" s="172">
        <v>105.799923511909</v>
      </c>
      <c r="G315" s="173">
        <v>7.15</v>
      </c>
      <c r="H315" s="188">
        <v>0.79166666666666663</v>
      </c>
      <c r="I315" s="188">
        <v>0.875</v>
      </c>
      <c r="J315" s="71">
        <v>2</v>
      </c>
      <c r="K315" s="76" t="s">
        <v>456</v>
      </c>
      <c r="L315" s="71">
        <v>50</v>
      </c>
      <c r="M315" s="71">
        <v>70</v>
      </c>
      <c r="N315" s="104" t="s">
        <v>466</v>
      </c>
      <c r="O315" s="200" t="s">
        <v>524</v>
      </c>
      <c r="Q315" s="269">
        <v>0</v>
      </c>
      <c r="R315" s="213">
        <v>0</v>
      </c>
      <c r="S315" s="277">
        <v>0.3</v>
      </c>
      <c r="T315" s="278" t="e">
        <f>Table_1[[#This Row],[Rain_fall (mm)]]/Table_1[[#This Row],[Factors]]</f>
        <v>#VALUE!</v>
      </c>
      <c r="U315" s="278" t="s">
        <v>562</v>
      </c>
      <c r="V315" s="15"/>
      <c r="W315" s="15"/>
      <c r="X315" s="15"/>
      <c r="Y315" s="15"/>
      <c r="Z315" s="16"/>
    </row>
    <row r="316" spans="1:26" ht="50.25" customHeight="1" x14ac:dyDescent="0.35">
      <c r="A316" s="10">
        <v>315</v>
      </c>
      <c r="B316" s="70" t="s">
        <v>13</v>
      </c>
      <c r="C316" s="168" t="s">
        <v>14</v>
      </c>
      <c r="D316" s="202">
        <v>43439</v>
      </c>
      <c r="E316" s="255">
        <v>21.025261908951201</v>
      </c>
      <c r="F316" s="172">
        <v>105.795464406176</v>
      </c>
      <c r="G316" s="173">
        <v>12.92</v>
      </c>
      <c r="H316" s="188">
        <v>0.79166666666666663</v>
      </c>
      <c r="I316" s="188">
        <v>0.875</v>
      </c>
      <c r="J316" s="71">
        <v>2</v>
      </c>
      <c r="K316" s="76" t="s">
        <v>456</v>
      </c>
      <c r="L316" s="71">
        <v>50</v>
      </c>
      <c r="M316" s="71">
        <v>70</v>
      </c>
      <c r="N316" s="104" t="s">
        <v>466</v>
      </c>
      <c r="O316" s="200" t="s">
        <v>524</v>
      </c>
      <c r="Q316" s="269">
        <v>0</v>
      </c>
      <c r="R316" s="213">
        <v>206.43</v>
      </c>
      <c r="S316" s="277">
        <v>0.3</v>
      </c>
      <c r="T316" s="278" t="e">
        <f>Table_1[[#This Row],[Rain_fall (mm)]]/Table_1[[#This Row],[Factors]]</f>
        <v>#VALUE!</v>
      </c>
      <c r="U316" s="278" t="s">
        <v>562</v>
      </c>
      <c r="V316" s="15"/>
      <c r="W316" s="15"/>
      <c r="X316" s="15"/>
      <c r="Y316" s="15"/>
      <c r="Z316" s="16"/>
    </row>
    <row r="317" spans="1:26" ht="50.25" customHeight="1" x14ac:dyDescent="0.35">
      <c r="A317" s="8">
        <v>316</v>
      </c>
      <c r="B317" s="70" t="s">
        <v>197</v>
      </c>
      <c r="C317" s="168" t="s">
        <v>521</v>
      </c>
      <c r="D317" s="202">
        <v>43439</v>
      </c>
      <c r="E317" s="66">
        <v>21.0219667</v>
      </c>
      <c r="F317" s="66">
        <v>105.8056084</v>
      </c>
      <c r="G317" s="8">
        <v>9.24</v>
      </c>
      <c r="H317" s="188">
        <v>0.79166666666666663</v>
      </c>
      <c r="I317" s="188">
        <v>0.875</v>
      </c>
      <c r="J317" s="71">
        <v>2</v>
      </c>
      <c r="K317" s="76" t="s">
        <v>456</v>
      </c>
      <c r="L317" s="71">
        <v>30</v>
      </c>
      <c r="M317" s="71">
        <v>24.33</v>
      </c>
      <c r="N317" s="104" t="s">
        <v>466</v>
      </c>
      <c r="O317" s="200" t="s">
        <v>524</v>
      </c>
      <c r="Q317" s="269">
        <v>0</v>
      </c>
      <c r="R317" s="213">
        <v>187.72</v>
      </c>
      <c r="S317" s="277">
        <v>0.3</v>
      </c>
      <c r="T317" s="278" t="e">
        <f>Table_1[[#This Row],[Rain_fall (mm)]]/Table_1[[#This Row],[Factors]]</f>
        <v>#VALUE!</v>
      </c>
      <c r="U317" s="278" t="s">
        <v>562</v>
      </c>
      <c r="V317" s="15"/>
      <c r="W317" s="15"/>
      <c r="X317" s="15"/>
      <c r="Y317" s="15"/>
      <c r="Z317" s="16"/>
    </row>
    <row r="318" spans="1:26" ht="50.25" customHeight="1" x14ac:dyDescent="0.35">
      <c r="A318" s="10">
        <v>317</v>
      </c>
      <c r="B318" s="70" t="s">
        <v>13</v>
      </c>
      <c r="C318" s="168" t="s">
        <v>16</v>
      </c>
      <c r="D318" s="202">
        <v>43439</v>
      </c>
      <c r="E318" s="17">
        <v>21.036659659677401</v>
      </c>
      <c r="F318" s="17">
        <v>105.785331622573</v>
      </c>
      <c r="G318" s="10">
        <v>8.26</v>
      </c>
      <c r="H318" s="188">
        <v>0.79166666666666663</v>
      </c>
      <c r="I318" s="188">
        <v>0.875</v>
      </c>
      <c r="J318" s="71">
        <v>2</v>
      </c>
      <c r="K318" s="76" t="s">
        <v>456</v>
      </c>
      <c r="L318" s="71">
        <v>30</v>
      </c>
      <c r="M318" s="71">
        <v>70</v>
      </c>
      <c r="N318" s="104" t="s">
        <v>466</v>
      </c>
      <c r="O318" s="200" t="s">
        <v>524</v>
      </c>
      <c r="Q318" s="269">
        <v>0</v>
      </c>
      <c r="R318" s="213">
        <v>139.99</v>
      </c>
      <c r="S318" s="277">
        <v>0.3</v>
      </c>
      <c r="T318" s="278" t="e">
        <f>Table_1[[#This Row],[Rain_fall (mm)]]/Table_1[[#This Row],[Factors]]</f>
        <v>#VALUE!</v>
      </c>
      <c r="U318" s="278" t="s">
        <v>562</v>
      </c>
      <c r="V318" s="15"/>
      <c r="W318" s="15"/>
      <c r="X318" s="15"/>
      <c r="Y318" s="15"/>
      <c r="Z318" s="16"/>
    </row>
    <row r="319" spans="1:26" ht="50.25" customHeight="1" x14ac:dyDescent="0.35">
      <c r="A319" s="8">
        <v>318</v>
      </c>
      <c r="B319" s="70" t="s">
        <v>129</v>
      </c>
      <c r="C319" s="168" t="s">
        <v>151</v>
      </c>
      <c r="D319" s="138" t="s">
        <v>525</v>
      </c>
      <c r="E319" s="172">
        <v>21.000369537263701</v>
      </c>
      <c r="F319" s="172">
        <v>105.831285254237</v>
      </c>
      <c r="G319" s="173">
        <v>7.69</v>
      </c>
      <c r="H319" s="188">
        <v>1</v>
      </c>
      <c r="I319" s="188">
        <v>0.27083333333333331</v>
      </c>
      <c r="J319" s="71">
        <v>6.5</v>
      </c>
      <c r="K319" s="76" t="s">
        <v>456</v>
      </c>
      <c r="L319" s="71">
        <v>15</v>
      </c>
      <c r="M319" s="71">
        <v>70</v>
      </c>
      <c r="N319" s="104" t="s">
        <v>466</v>
      </c>
      <c r="O319" s="200" t="s">
        <v>526</v>
      </c>
      <c r="Q319" s="269">
        <v>48.53</v>
      </c>
      <c r="R319" s="213">
        <v>112.62</v>
      </c>
      <c r="S319" s="277">
        <v>78.599999999999994</v>
      </c>
      <c r="T319" s="278" t="e">
        <f>Table_1[[#This Row],[Rain_fall (mm)]]/Table_1[[#This Row],[Factors]]</f>
        <v>#VALUE!</v>
      </c>
      <c r="U319" s="278" t="s">
        <v>562</v>
      </c>
      <c r="V319" s="15"/>
      <c r="W319" s="15"/>
      <c r="X319" s="15"/>
      <c r="Y319" s="15"/>
      <c r="Z319" s="16"/>
    </row>
    <row r="320" spans="1:26" ht="50.25" customHeight="1" x14ac:dyDescent="0.35">
      <c r="A320" s="10">
        <v>319</v>
      </c>
      <c r="B320" s="160" t="s">
        <v>88</v>
      </c>
      <c r="C320" s="211" t="s">
        <v>527</v>
      </c>
      <c r="D320" s="138" t="s">
        <v>525</v>
      </c>
      <c r="E320" s="25">
        <v>21.0106</v>
      </c>
      <c r="F320" s="25">
        <v>105.73180000000001</v>
      </c>
      <c r="G320" s="10">
        <v>13.23</v>
      </c>
      <c r="H320" s="188">
        <v>1</v>
      </c>
      <c r="I320" s="188">
        <v>0.27083333333333331</v>
      </c>
      <c r="J320" s="71">
        <v>6.5</v>
      </c>
      <c r="K320" s="76" t="s">
        <v>456</v>
      </c>
      <c r="L320" s="71">
        <v>20</v>
      </c>
      <c r="M320" s="71">
        <v>70</v>
      </c>
      <c r="N320" s="104" t="s">
        <v>466</v>
      </c>
      <c r="O320" s="200" t="s">
        <v>526</v>
      </c>
      <c r="Q320" s="269">
        <v>48.53</v>
      </c>
      <c r="R320" s="213">
        <v>277.68</v>
      </c>
      <c r="S320" s="277">
        <v>100.1</v>
      </c>
      <c r="T320" s="278" t="e">
        <f>Table_1[[#This Row],[Rain_fall (mm)]]/Table_1[[#This Row],[Factors]]</f>
        <v>#VALUE!</v>
      </c>
      <c r="U320" s="278" t="s">
        <v>562</v>
      </c>
      <c r="V320" s="15"/>
      <c r="W320" s="15"/>
      <c r="X320" s="15"/>
      <c r="Y320" s="15"/>
      <c r="Z320" s="16"/>
    </row>
    <row r="321" spans="1:26" ht="50.25" customHeight="1" x14ac:dyDescent="0.35">
      <c r="A321" s="8">
        <v>320</v>
      </c>
      <c r="B321" s="209" t="s">
        <v>288</v>
      </c>
      <c r="C321" s="213" t="s">
        <v>528</v>
      </c>
      <c r="D321" s="218" t="s">
        <v>525</v>
      </c>
      <c r="E321" s="172">
        <v>21.062816884777501</v>
      </c>
      <c r="F321" s="172">
        <v>105.784199111909</v>
      </c>
      <c r="G321" s="173">
        <v>10.36</v>
      </c>
      <c r="H321" s="188">
        <v>1</v>
      </c>
      <c r="I321" s="188">
        <v>0.27083333333333331</v>
      </c>
      <c r="J321" s="71">
        <v>6.5</v>
      </c>
      <c r="K321" s="76" t="s">
        <v>456</v>
      </c>
      <c r="L321" s="71">
        <v>30</v>
      </c>
      <c r="M321" s="71">
        <v>100</v>
      </c>
      <c r="N321" s="104" t="s">
        <v>466</v>
      </c>
      <c r="O321" s="200" t="s">
        <v>526</v>
      </c>
      <c r="Q321" s="269">
        <v>48.53</v>
      </c>
      <c r="R321" s="213">
        <v>219.36</v>
      </c>
      <c r="S321" s="277">
        <v>69</v>
      </c>
      <c r="T321" s="278" t="e">
        <f>Table_1[[#This Row],[Rain_fall (mm)]]/Table_1[[#This Row],[Factors]]</f>
        <v>#VALUE!</v>
      </c>
      <c r="U321" s="278" t="s">
        <v>562</v>
      </c>
      <c r="V321" s="15"/>
      <c r="W321" s="15"/>
      <c r="X321" s="15"/>
      <c r="Y321" s="15"/>
      <c r="Z321" s="16"/>
    </row>
    <row r="322" spans="1:26" ht="50.25" customHeight="1" x14ac:dyDescent="0.35">
      <c r="A322" s="10">
        <v>321</v>
      </c>
      <c r="B322" s="209" t="s">
        <v>288</v>
      </c>
      <c r="C322" s="213" t="s">
        <v>529</v>
      </c>
      <c r="D322" s="218" t="s">
        <v>525</v>
      </c>
      <c r="E322" s="172">
        <v>21.062816884777501</v>
      </c>
      <c r="F322" s="172">
        <v>105.784199111909</v>
      </c>
      <c r="G322" s="173">
        <v>10.36</v>
      </c>
      <c r="H322" s="188">
        <v>1</v>
      </c>
      <c r="I322" s="188">
        <v>0.27083333333333331</v>
      </c>
      <c r="J322" s="71">
        <v>6.5</v>
      </c>
      <c r="K322" s="76" t="s">
        <v>456</v>
      </c>
      <c r="L322" s="71">
        <v>30</v>
      </c>
      <c r="M322" s="71">
        <v>100</v>
      </c>
      <c r="N322" s="104" t="s">
        <v>466</v>
      </c>
      <c r="O322" s="200" t="s">
        <v>526</v>
      </c>
      <c r="Q322" s="269">
        <v>48.53</v>
      </c>
      <c r="R322" s="213">
        <v>219.36</v>
      </c>
      <c r="S322" s="277">
        <v>69</v>
      </c>
      <c r="T322" s="278" t="e">
        <f>Table_1[[#This Row],[Rain_fall (mm)]]/Table_1[[#This Row],[Factors]]</f>
        <v>#VALUE!</v>
      </c>
      <c r="U322" s="278" t="s">
        <v>562</v>
      </c>
      <c r="V322" s="15"/>
      <c r="W322" s="15"/>
      <c r="X322" s="15"/>
      <c r="Y322" s="15"/>
      <c r="Z322" s="16"/>
    </row>
    <row r="323" spans="1:26" ht="50.25" customHeight="1" x14ac:dyDescent="0.35">
      <c r="A323" s="8">
        <v>322</v>
      </c>
      <c r="B323" s="209" t="s">
        <v>309</v>
      </c>
      <c r="C323" s="213" t="s">
        <v>505</v>
      </c>
      <c r="D323" s="218" t="s">
        <v>525</v>
      </c>
      <c r="E323" s="255">
        <v>21.043105726540499</v>
      </c>
      <c r="F323" s="172">
        <v>105.823097276854</v>
      </c>
      <c r="G323" s="173">
        <v>9.52</v>
      </c>
      <c r="H323" s="188">
        <v>1</v>
      </c>
      <c r="I323" s="188">
        <v>0.27083333333333331</v>
      </c>
      <c r="J323" s="71">
        <v>6.5</v>
      </c>
      <c r="K323" s="76" t="s">
        <v>456</v>
      </c>
      <c r="L323" s="71">
        <v>30</v>
      </c>
      <c r="M323" s="71">
        <v>100</v>
      </c>
      <c r="N323" s="104" t="s">
        <v>466</v>
      </c>
      <c r="O323" s="200" t="s">
        <v>526</v>
      </c>
      <c r="Q323" s="269">
        <v>48.53</v>
      </c>
      <c r="R323" s="213">
        <v>67.12</v>
      </c>
      <c r="S323" s="277">
        <v>69</v>
      </c>
      <c r="T323" s="278" t="e">
        <f>Table_1[[#This Row],[Rain_fall (mm)]]/Table_1[[#This Row],[Factors]]</f>
        <v>#VALUE!</v>
      </c>
      <c r="U323" s="278" t="s">
        <v>562</v>
      </c>
      <c r="V323" s="15"/>
      <c r="W323" s="15"/>
      <c r="X323" s="15"/>
      <c r="Y323" s="15"/>
      <c r="Z323" s="16"/>
    </row>
    <row r="324" spans="1:26" ht="50.25" customHeight="1" x14ac:dyDescent="0.35">
      <c r="A324" s="10">
        <v>323</v>
      </c>
      <c r="B324" s="221" t="s">
        <v>13</v>
      </c>
      <c r="C324" s="222" t="s">
        <v>14</v>
      </c>
      <c r="D324" s="223" t="s">
        <v>525</v>
      </c>
      <c r="E324" s="9">
        <v>21.025171827926101</v>
      </c>
      <c r="F324" s="9">
        <v>105.795453695586</v>
      </c>
      <c r="G324" s="10">
        <v>12.92</v>
      </c>
      <c r="H324" s="188">
        <v>1</v>
      </c>
      <c r="I324" s="188">
        <v>0.27083333333333331</v>
      </c>
      <c r="J324" s="71">
        <v>6.5</v>
      </c>
      <c r="K324" s="76" t="s">
        <v>456</v>
      </c>
      <c r="L324" s="71">
        <v>15</v>
      </c>
      <c r="M324" s="71">
        <v>70</v>
      </c>
      <c r="N324" s="104" t="s">
        <v>466</v>
      </c>
      <c r="O324" s="200" t="s">
        <v>526</v>
      </c>
      <c r="Q324" s="269">
        <v>48.53</v>
      </c>
      <c r="R324" s="213">
        <v>206.36</v>
      </c>
      <c r="S324" s="277">
        <v>69</v>
      </c>
      <c r="T324" s="278" t="e">
        <f>Table_1[[#This Row],[Rain_fall (mm)]]/Table_1[[#This Row],[Factors]]</f>
        <v>#VALUE!</v>
      </c>
      <c r="U324" s="278" t="s">
        <v>562</v>
      </c>
      <c r="V324" s="15"/>
      <c r="W324" s="15"/>
      <c r="X324" s="15"/>
      <c r="Y324" s="15"/>
      <c r="Z324" s="16"/>
    </row>
    <row r="325" spans="1:26" ht="50.25" customHeight="1" x14ac:dyDescent="0.35">
      <c r="A325" s="219">
        <v>324</v>
      </c>
      <c r="B325" s="224" t="s">
        <v>13</v>
      </c>
      <c r="C325" s="225" t="s">
        <v>530</v>
      </c>
      <c r="D325" s="227" t="s">
        <v>531</v>
      </c>
      <c r="E325" s="220">
        <v>21.021637495053099</v>
      </c>
      <c r="F325" s="172">
        <v>105.791092810522</v>
      </c>
      <c r="G325" s="173">
        <v>7.76</v>
      </c>
      <c r="H325" s="188">
        <v>0.66666666666666663</v>
      </c>
      <c r="I325" s="188">
        <v>0.70833333333333337</v>
      </c>
      <c r="J325" s="71">
        <v>1</v>
      </c>
      <c r="K325" s="76" t="s">
        <v>456</v>
      </c>
      <c r="L325" s="71">
        <v>20</v>
      </c>
      <c r="M325" s="71"/>
      <c r="N325" s="104" t="s">
        <v>466</v>
      </c>
      <c r="O325" s="200" t="s">
        <v>533</v>
      </c>
      <c r="Q325" s="269">
        <v>12.88</v>
      </c>
      <c r="R325" s="213">
        <v>315.41000000000003</v>
      </c>
      <c r="S325" s="277">
        <v>16.5</v>
      </c>
      <c r="T325" s="278" t="e">
        <f>Table_1[[#This Row],[Rain_fall (mm)]]/Table_1[[#This Row],[Factors]]</f>
        <v>#VALUE!</v>
      </c>
      <c r="U325" s="278" t="s">
        <v>562</v>
      </c>
      <c r="V325" s="15"/>
      <c r="W325" s="15"/>
      <c r="X325" s="15"/>
      <c r="Y325" s="15"/>
      <c r="Z325" s="16"/>
    </row>
    <row r="326" spans="1:26" ht="50.25" customHeight="1" x14ac:dyDescent="0.35">
      <c r="A326" s="10">
        <v>325</v>
      </c>
      <c r="B326" s="228" t="s">
        <v>197</v>
      </c>
      <c r="C326" s="212" t="s">
        <v>519</v>
      </c>
      <c r="D326" s="227" t="s">
        <v>531</v>
      </c>
      <c r="E326" s="66">
        <v>21.0219667</v>
      </c>
      <c r="F326" s="66">
        <v>105.8056084</v>
      </c>
      <c r="G326" s="8">
        <v>9.24</v>
      </c>
      <c r="H326" s="188">
        <v>0.66666666666666663</v>
      </c>
      <c r="I326" s="188">
        <v>0.70833333333333337</v>
      </c>
      <c r="J326" s="71">
        <v>1</v>
      </c>
      <c r="K326" s="229" t="s">
        <v>456</v>
      </c>
      <c r="L326" s="71">
        <v>15</v>
      </c>
      <c r="M326" s="71"/>
      <c r="N326" s="104" t="s">
        <v>466</v>
      </c>
      <c r="O326" s="200" t="s">
        <v>533</v>
      </c>
      <c r="Q326" s="269">
        <v>12.88</v>
      </c>
      <c r="R326" s="213">
        <v>187.72</v>
      </c>
      <c r="S326" s="277">
        <v>16.5</v>
      </c>
      <c r="T326" s="278" t="e">
        <f>Table_1[[#This Row],[Rain_fall (mm)]]/Table_1[[#This Row],[Factors]]</f>
        <v>#VALUE!</v>
      </c>
      <c r="U326" s="278" t="s">
        <v>562</v>
      </c>
      <c r="V326" s="15"/>
      <c r="W326" s="15"/>
      <c r="X326" s="15"/>
      <c r="Y326" s="15"/>
      <c r="Z326" s="16"/>
    </row>
    <row r="327" spans="1:26" ht="50.25" customHeight="1" x14ac:dyDescent="0.35">
      <c r="A327" s="8">
        <v>326</v>
      </c>
      <c r="B327" s="160" t="s">
        <v>197</v>
      </c>
      <c r="C327" s="168" t="s">
        <v>521</v>
      </c>
      <c r="D327" s="227" t="s">
        <v>531</v>
      </c>
      <c r="E327" s="66">
        <v>21.0219667</v>
      </c>
      <c r="F327" s="66">
        <v>105.8056084</v>
      </c>
      <c r="G327" s="8">
        <v>9.24</v>
      </c>
      <c r="H327" s="188">
        <v>0.66666666666666663</v>
      </c>
      <c r="I327" s="188">
        <v>0.70833333333333337</v>
      </c>
      <c r="J327" s="71">
        <v>1</v>
      </c>
      <c r="K327" s="229" t="s">
        <v>456</v>
      </c>
      <c r="L327" s="71">
        <v>15</v>
      </c>
      <c r="M327" s="71"/>
      <c r="N327" s="104" t="s">
        <v>466</v>
      </c>
      <c r="O327" s="200" t="s">
        <v>533</v>
      </c>
      <c r="Q327" s="269">
        <v>12.88</v>
      </c>
      <c r="R327" s="213">
        <v>187.72</v>
      </c>
      <c r="S327" s="277">
        <v>16.5</v>
      </c>
      <c r="T327" s="278" t="e">
        <f>Table_1[[#This Row],[Rain_fall (mm)]]/Table_1[[#This Row],[Factors]]</f>
        <v>#VALUE!</v>
      </c>
      <c r="U327" s="278" t="s">
        <v>562</v>
      </c>
      <c r="V327" s="15"/>
      <c r="W327" s="15"/>
      <c r="X327" s="15"/>
      <c r="Y327" s="15"/>
      <c r="Z327" s="16"/>
    </row>
    <row r="328" spans="1:26" ht="50.25" customHeight="1" x14ac:dyDescent="0.35">
      <c r="A328" s="10">
        <v>327</v>
      </c>
      <c r="B328" s="160" t="s">
        <v>309</v>
      </c>
      <c r="C328" s="168" t="s">
        <v>532</v>
      </c>
      <c r="D328" s="227" t="s">
        <v>531</v>
      </c>
      <c r="E328" s="255">
        <v>21.043105726540499</v>
      </c>
      <c r="F328" s="172">
        <v>105.823097276854</v>
      </c>
      <c r="G328" s="173">
        <v>9.52</v>
      </c>
      <c r="H328" s="188">
        <v>0.66666666666666663</v>
      </c>
      <c r="I328" s="188">
        <v>0.70833333333333337</v>
      </c>
      <c r="J328" s="71">
        <v>1</v>
      </c>
      <c r="K328" s="229" t="s">
        <v>456</v>
      </c>
      <c r="L328" s="71">
        <v>30</v>
      </c>
      <c r="M328" s="71"/>
      <c r="N328" s="104" t="s">
        <v>466</v>
      </c>
      <c r="O328" s="200" t="s">
        <v>533</v>
      </c>
      <c r="Q328" s="269">
        <v>12.88</v>
      </c>
      <c r="R328" s="213">
        <v>67.12</v>
      </c>
      <c r="S328" s="277">
        <v>16.5</v>
      </c>
      <c r="T328" s="278" t="e">
        <f>Table_1[[#This Row],[Rain_fall (mm)]]/Table_1[[#This Row],[Factors]]</f>
        <v>#VALUE!</v>
      </c>
      <c r="U328" s="278" t="s">
        <v>562</v>
      </c>
      <c r="V328" s="15"/>
      <c r="W328" s="15"/>
      <c r="X328" s="15"/>
      <c r="Y328" s="15"/>
      <c r="Z328" s="16"/>
    </row>
    <row r="329" spans="1:26" ht="50.25" customHeight="1" x14ac:dyDescent="0.35">
      <c r="A329" s="8">
        <v>328</v>
      </c>
      <c r="B329" s="209" t="s">
        <v>13</v>
      </c>
      <c r="C329" s="211" t="s">
        <v>29</v>
      </c>
      <c r="D329" s="227" t="s">
        <v>531</v>
      </c>
      <c r="E329" s="231">
        <v>21.0392615117294</v>
      </c>
      <c r="F329" s="231">
        <v>105.786138711909</v>
      </c>
      <c r="G329" s="232">
        <v>8.76</v>
      </c>
      <c r="H329" s="233">
        <v>0.66666666666666663</v>
      </c>
      <c r="I329" s="188">
        <v>0.70833333333333337</v>
      </c>
      <c r="J329" s="71">
        <v>1</v>
      </c>
      <c r="K329" s="229" t="s">
        <v>456</v>
      </c>
      <c r="L329" s="71">
        <v>55</v>
      </c>
      <c r="M329" s="71"/>
      <c r="N329" s="104" t="s">
        <v>466</v>
      </c>
      <c r="O329" s="200" t="s">
        <v>533</v>
      </c>
      <c r="Q329" s="269">
        <v>12.88</v>
      </c>
      <c r="R329" s="213">
        <v>88.54</v>
      </c>
      <c r="S329" s="277">
        <v>16.5</v>
      </c>
      <c r="T329" s="278" t="e">
        <f>Table_1[[#This Row],[Rain_fall (mm)]]/Table_1[[#This Row],[Factors]]</f>
        <v>#VALUE!</v>
      </c>
      <c r="U329" s="278" t="s">
        <v>562</v>
      </c>
      <c r="V329" s="15"/>
      <c r="W329" s="15"/>
      <c r="X329" s="15"/>
      <c r="Y329" s="15"/>
      <c r="Z329" s="16"/>
    </row>
    <row r="330" spans="1:26" ht="50.25" customHeight="1" x14ac:dyDescent="0.35">
      <c r="A330" s="10">
        <v>329</v>
      </c>
      <c r="B330" s="209" t="s">
        <v>13</v>
      </c>
      <c r="C330" s="226" t="s">
        <v>14</v>
      </c>
      <c r="D330" s="227" t="s">
        <v>531</v>
      </c>
      <c r="E330" s="255">
        <v>21.025261908951201</v>
      </c>
      <c r="F330" s="172">
        <v>105.795464406176</v>
      </c>
      <c r="G330" s="173">
        <v>12.92</v>
      </c>
      <c r="H330" s="233">
        <v>0.66666666666666663</v>
      </c>
      <c r="I330" s="188">
        <v>0.70833333333333337</v>
      </c>
      <c r="J330" s="71">
        <v>1</v>
      </c>
      <c r="K330" s="229" t="s">
        <v>456</v>
      </c>
      <c r="L330" s="237">
        <v>45</v>
      </c>
      <c r="M330" s="237"/>
      <c r="N330" s="104" t="s">
        <v>466</v>
      </c>
      <c r="O330" s="200" t="s">
        <v>533</v>
      </c>
      <c r="Q330" s="269">
        <v>12.88</v>
      </c>
      <c r="R330" s="213">
        <v>206.43</v>
      </c>
      <c r="S330" s="277">
        <v>16.5</v>
      </c>
      <c r="T330" s="278" t="e">
        <f>Table_1[[#This Row],[Rain_fall (mm)]]/Table_1[[#This Row],[Factors]]</f>
        <v>#VALUE!</v>
      </c>
      <c r="U330" s="278" t="s">
        <v>562</v>
      </c>
      <c r="V330" s="15"/>
      <c r="W330" s="15"/>
      <c r="X330" s="15"/>
      <c r="Y330" s="15"/>
      <c r="Z330" s="16"/>
    </row>
    <row r="331" spans="1:26" ht="50.25" customHeight="1" x14ac:dyDescent="0.35">
      <c r="A331" s="8">
        <v>330</v>
      </c>
      <c r="B331" s="209" t="s">
        <v>165</v>
      </c>
      <c r="C331" s="226" t="s">
        <v>187</v>
      </c>
      <c r="D331" s="225" t="s">
        <v>534</v>
      </c>
      <c r="E331" s="172">
        <v>21.034728994988001</v>
      </c>
      <c r="F331" s="172">
        <v>105.845637790834</v>
      </c>
      <c r="G331" s="173">
        <v>7.83</v>
      </c>
      <c r="H331" s="236">
        <v>0.29166666666666669</v>
      </c>
      <c r="I331" s="230">
        <v>0.45833333333333331</v>
      </c>
      <c r="J331" s="71">
        <v>4</v>
      </c>
      <c r="K331" s="229" t="s">
        <v>456</v>
      </c>
      <c r="L331" s="225">
        <v>30</v>
      </c>
      <c r="M331" s="225">
        <v>150</v>
      </c>
      <c r="N331" s="104" t="s">
        <v>466</v>
      </c>
      <c r="O331" s="200" t="s">
        <v>538</v>
      </c>
      <c r="Q331" s="269">
        <v>61.81</v>
      </c>
      <c r="R331" s="213">
        <v>695.18</v>
      </c>
      <c r="S331" s="277">
        <v>43.8</v>
      </c>
      <c r="T331" s="278" t="e">
        <f>Table_1[[#This Row],[Rain_fall (mm)]]/Table_1[[#This Row],[Factors]]</f>
        <v>#VALUE!</v>
      </c>
      <c r="U331" s="278" t="s">
        <v>562</v>
      </c>
      <c r="V331" s="15"/>
      <c r="W331" s="15"/>
      <c r="X331" s="15"/>
      <c r="Y331" s="15"/>
      <c r="Z331" s="16"/>
    </row>
    <row r="332" spans="1:26" ht="50.25" customHeight="1" x14ac:dyDescent="0.35">
      <c r="A332" s="10">
        <v>331</v>
      </c>
      <c r="B332" s="209" t="s">
        <v>309</v>
      </c>
      <c r="C332" s="226" t="s">
        <v>536</v>
      </c>
      <c r="D332" s="225" t="s">
        <v>537</v>
      </c>
      <c r="E332" s="257">
        <v>21.043408729670599</v>
      </c>
      <c r="F332" s="257">
        <v>105.818063991751</v>
      </c>
      <c r="G332" s="225">
        <v>11.47</v>
      </c>
      <c r="H332" s="236">
        <v>0.75</v>
      </c>
      <c r="I332" s="230">
        <v>0.8125</v>
      </c>
      <c r="J332" s="71">
        <v>1.5</v>
      </c>
      <c r="K332" s="229" t="s">
        <v>456</v>
      </c>
      <c r="L332" s="238">
        <v>30</v>
      </c>
      <c r="M332" s="238">
        <v>60</v>
      </c>
      <c r="N332" s="104" t="s">
        <v>466</v>
      </c>
      <c r="O332" s="200" t="s">
        <v>535</v>
      </c>
      <c r="Q332" s="269">
        <v>1.26</v>
      </c>
      <c r="R332" s="213">
        <v>127.1</v>
      </c>
      <c r="S332" s="277">
        <v>1.5</v>
      </c>
      <c r="T332" s="278" t="e">
        <f>Table_1[[#This Row],[Rain_fall (mm)]]/Table_1[[#This Row],[Factors]]</f>
        <v>#VALUE!</v>
      </c>
      <c r="U332" s="278" t="s">
        <v>562</v>
      </c>
      <c r="V332" s="15"/>
      <c r="W332" s="15"/>
      <c r="X332" s="15"/>
      <c r="Y332" s="15"/>
      <c r="Z332" s="16"/>
    </row>
    <row r="333" spans="1:26" ht="50.25" customHeight="1" x14ac:dyDescent="0.35">
      <c r="A333" s="8">
        <v>332</v>
      </c>
      <c r="B333" s="70" t="s">
        <v>197</v>
      </c>
      <c r="C333" s="226" t="s">
        <v>521</v>
      </c>
      <c r="D333" s="225" t="s">
        <v>537</v>
      </c>
      <c r="E333" s="66">
        <v>21.0219667</v>
      </c>
      <c r="F333" s="66">
        <v>105.8056084</v>
      </c>
      <c r="G333" s="8">
        <v>9.24</v>
      </c>
      <c r="H333" s="236">
        <v>0.75</v>
      </c>
      <c r="I333" s="230">
        <v>0.8125</v>
      </c>
      <c r="J333" s="71">
        <v>1.5</v>
      </c>
      <c r="K333" s="229" t="s">
        <v>456</v>
      </c>
      <c r="L333" s="71">
        <v>15</v>
      </c>
      <c r="M333" s="238">
        <v>60</v>
      </c>
      <c r="N333" s="104" t="s">
        <v>466</v>
      </c>
      <c r="O333" s="200" t="s">
        <v>535</v>
      </c>
      <c r="Q333" s="269">
        <v>1.26</v>
      </c>
      <c r="R333" s="213">
        <v>187.72</v>
      </c>
      <c r="S333" s="277">
        <v>1.5</v>
      </c>
      <c r="T333" s="278" t="e">
        <f>Table_1[[#This Row],[Rain_fall (mm)]]/Table_1[[#This Row],[Factors]]</f>
        <v>#VALUE!</v>
      </c>
      <c r="U333" s="278" t="s">
        <v>562</v>
      </c>
      <c r="V333" s="15"/>
      <c r="W333" s="15"/>
      <c r="X333" s="15"/>
      <c r="Y333" s="15"/>
      <c r="Z333" s="16"/>
    </row>
    <row r="334" spans="1:26" ht="50.25" customHeight="1" x14ac:dyDescent="0.35">
      <c r="A334" s="10">
        <v>333</v>
      </c>
      <c r="B334" s="209" t="s">
        <v>309</v>
      </c>
      <c r="C334" s="226" t="s">
        <v>532</v>
      </c>
      <c r="D334" s="225" t="s">
        <v>537</v>
      </c>
      <c r="E334" s="255">
        <v>21.043105726540499</v>
      </c>
      <c r="F334" s="172">
        <v>105.823097276854</v>
      </c>
      <c r="G334" s="173">
        <v>9.52</v>
      </c>
      <c r="H334" s="236">
        <v>0.75</v>
      </c>
      <c r="I334" s="230">
        <v>0.8125</v>
      </c>
      <c r="J334" s="71">
        <v>1.5</v>
      </c>
      <c r="K334" s="229" t="s">
        <v>456</v>
      </c>
      <c r="L334" s="71">
        <v>20</v>
      </c>
      <c r="M334" s="238">
        <v>60</v>
      </c>
      <c r="N334" s="104" t="s">
        <v>466</v>
      </c>
      <c r="O334" s="200" t="s">
        <v>535</v>
      </c>
      <c r="Q334" s="269">
        <v>1.26</v>
      </c>
      <c r="R334" s="213">
        <v>67.12</v>
      </c>
      <c r="S334" s="277">
        <v>1.5</v>
      </c>
      <c r="T334" s="278" t="e">
        <f>Table_1[[#This Row],[Rain_fall (mm)]]/Table_1[[#This Row],[Factors]]</f>
        <v>#VALUE!</v>
      </c>
      <c r="U334" s="278" t="s">
        <v>562</v>
      </c>
      <c r="V334" s="15"/>
      <c r="W334" s="15"/>
      <c r="X334" s="15"/>
      <c r="Y334" s="15"/>
      <c r="Z334" s="16"/>
    </row>
    <row r="335" spans="1:26" ht="50.25" customHeight="1" x14ac:dyDescent="0.35">
      <c r="A335" s="8">
        <v>334</v>
      </c>
      <c r="B335" s="209" t="s">
        <v>57</v>
      </c>
      <c r="C335" s="226" t="s">
        <v>540</v>
      </c>
      <c r="D335" s="239" t="s">
        <v>539</v>
      </c>
      <c r="E335" s="257">
        <v>21.002848985439801</v>
      </c>
      <c r="F335" s="257">
        <v>105.861763396565</v>
      </c>
      <c r="G335" s="225">
        <v>6.48</v>
      </c>
      <c r="H335" s="236">
        <v>0.70833333333333337</v>
      </c>
      <c r="I335" s="230">
        <v>0.75</v>
      </c>
      <c r="J335" s="71">
        <v>1</v>
      </c>
      <c r="K335" s="229" t="s">
        <v>456</v>
      </c>
      <c r="L335" s="71">
        <v>20</v>
      </c>
      <c r="M335" s="71">
        <v>60</v>
      </c>
      <c r="N335" s="104" t="s">
        <v>466</v>
      </c>
      <c r="O335" s="200" t="s">
        <v>542</v>
      </c>
      <c r="Q335" s="269">
        <v>10.5</v>
      </c>
      <c r="R335" s="213">
        <v>17.89</v>
      </c>
      <c r="S335" s="277">
        <v>0</v>
      </c>
      <c r="T335" s="278" t="e">
        <f>Table_1[[#This Row],[Rain_fall (mm)]]/Table_1[[#This Row],[Factors]]</f>
        <v>#VALUE!</v>
      </c>
      <c r="U335" s="278" t="s">
        <v>562</v>
      </c>
      <c r="V335" s="15"/>
      <c r="W335" s="15"/>
      <c r="X335" s="15"/>
      <c r="Y335" s="15"/>
      <c r="Z335" s="16"/>
    </row>
    <row r="336" spans="1:26" ht="50.25" customHeight="1" x14ac:dyDescent="0.35">
      <c r="A336" s="10">
        <v>335</v>
      </c>
      <c r="B336" s="70" t="s">
        <v>197</v>
      </c>
      <c r="C336" s="226" t="s">
        <v>521</v>
      </c>
      <c r="D336" s="239">
        <v>44505</v>
      </c>
      <c r="E336" s="66">
        <v>21.0219667</v>
      </c>
      <c r="F336" s="66">
        <v>105.8056084</v>
      </c>
      <c r="G336" s="8">
        <v>9.24</v>
      </c>
      <c r="H336" s="236">
        <v>0.77083333333333337</v>
      </c>
      <c r="I336" s="230">
        <v>0.8125</v>
      </c>
      <c r="J336" s="71">
        <v>1</v>
      </c>
      <c r="K336" s="229" t="s">
        <v>456</v>
      </c>
      <c r="L336" s="71">
        <v>40</v>
      </c>
      <c r="M336" s="71">
        <v>75</v>
      </c>
      <c r="N336" s="217" t="s">
        <v>469</v>
      </c>
      <c r="O336" s="200" t="s">
        <v>541</v>
      </c>
      <c r="Q336" s="269">
        <v>0.03</v>
      </c>
      <c r="R336" s="213">
        <v>187.72</v>
      </c>
      <c r="S336" s="277">
        <v>0</v>
      </c>
      <c r="T336" s="278" t="e">
        <f>Table_1[[#This Row],[Rain_fall (mm)]]/Table_1[[#This Row],[Factors]]</f>
        <v>#VALUE!</v>
      </c>
      <c r="U336" s="278" t="s">
        <v>562</v>
      </c>
      <c r="V336" s="15"/>
      <c r="W336" s="15"/>
      <c r="X336" s="15"/>
      <c r="Y336" s="15"/>
      <c r="Z336" s="16"/>
    </row>
    <row r="337" spans="1:26" ht="50.25" customHeight="1" x14ac:dyDescent="0.35">
      <c r="A337" s="8">
        <v>336</v>
      </c>
      <c r="B337" s="209" t="s">
        <v>309</v>
      </c>
      <c r="C337" s="226" t="s">
        <v>532</v>
      </c>
      <c r="D337" s="239">
        <v>44505</v>
      </c>
      <c r="E337" s="255">
        <v>21.043105726540499</v>
      </c>
      <c r="F337" s="172">
        <v>105.823097276854</v>
      </c>
      <c r="G337" s="173">
        <v>9.52</v>
      </c>
      <c r="H337" s="236">
        <v>0.77083333333333337</v>
      </c>
      <c r="I337" s="230">
        <v>0.8125</v>
      </c>
      <c r="J337" s="71">
        <v>1</v>
      </c>
      <c r="K337" s="229" t="s">
        <v>456</v>
      </c>
      <c r="L337" s="71">
        <v>50</v>
      </c>
      <c r="M337" s="71">
        <v>100</v>
      </c>
      <c r="N337" s="217" t="s">
        <v>469</v>
      </c>
      <c r="O337" s="200" t="s">
        <v>541</v>
      </c>
      <c r="Q337" s="269">
        <v>0.03</v>
      </c>
      <c r="R337" s="213">
        <v>67.12</v>
      </c>
      <c r="S337" s="277">
        <v>0</v>
      </c>
      <c r="T337" s="278" t="e">
        <f>Table_1[[#This Row],[Rain_fall (mm)]]/Table_1[[#This Row],[Factors]]</f>
        <v>#VALUE!</v>
      </c>
      <c r="U337" s="278" t="s">
        <v>562</v>
      </c>
      <c r="V337" s="15"/>
      <c r="W337" s="15"/>
      <c r="X337" s="15"/>
      <c r="Y337" s="15"/>
      <c r="Z337" s="16"/>
    </row>
    <row r="338" spans="1:26" ht="50.25" customHeight="1" x14ac:dyDescent="0.35">
      <c r="A338" s="10">
        <v>337</v>
      </c>
      <c r="B338" s="160" t="s">
        <v>194</v>
      </c>
      <c r="C338" s="212" t="s">
        <v>543</v>
      </c>
      <c r="D338" s="239">
        <v>44505</v>
      </c>
      <c r="E338" s="234">
        <v>21.036072887737099</v>
      </c>
      <c r="F338" s="234">
        <v>105.812723310059</v>
      </c>
      <c r="G338" s="235">
        <v>12.15</v>
      </c>
      <c r="H338" s="236">
        <v>0.77083333333333337</v>
      </c>
      <c r="I338" s="230">
        <v>0.8125</v>
      </c>
      <c r="J338" s="71">
        <v>1</v>
      </c>
      <c r="K338" s="229" t="s">
        <v>456</v>
      </c>
      <c r="L338" s="71">
        <v>40</v>
      </c>
      <c r="M338" s="71">
        <v>90</v>
      </c>
      <c r="N338" s="217" t="s">
        <v>469</v>
      </c>
      <c r="O338" s="200" t="s">
        <v>541</v>
      </c>
      <c r="Q338" s="269">
        <v>0.03</v>
      </c>
      <c r="R338" s="213">
        <v>560.42999999999995</v>
      </c>
      <c r="S338" s="277">
        <v>0</v>
      </c>
      <c r="T338" s="278" t="e">
        <f>Table_1[[#This Row],[Rain_fall (mm)]]/Table_1[[#This Row],[Factors]]</f>
        <v>#VALUE!</v>
      </c>
      <c r="U338" s="278" t="s">
        <v>562</v>
      </c>
      <c r="V338" s="15"/>
      <c r="W338" s="15"/>
      <c r="X338" s="15"/>
      <c r="Y338" s="15"/>
      <c r="Z338" s="16"/>
    </row>
    <row r="339" spans="1:26" ht="50.25" customHeight="1" x14ac:dyDescent="0.35">
      <c r="A339" s="8">
        <v>338</v>
      </c>
      <c r="B339" s="160" t="s">
        <v>13</v>
      </c>
      <c r="C339" s="168" t="s">
        <v>544</v>
      </c>
      <c r="D339" s="239">
        <v>44505</v>
      </c>
      <c r="E339" s="172">
        <v>21.017694060223199</v>
      </c>
      <c r="F339" s="172">
        <v>105.79847939841601</v>
      </c>
      <c r="G339" s="173">
        <v>8.02</v>
      </c>
      <c r="H339" s="236">
        <v>0.77083333333333337</v>
      </c>
      <c r="I339" s="230">
        <v>0.8125</v>
      </c>
      <c r="J339" s="71">
        <v>1</v>
      </c>
      <c r="K339" s="229" t="s">
        <v>456</v>
      </c>
      <c r="L339" s="71">
        <v>40</v>
      </c>
      <c r="M339" s="71">
        <v>134.1</v>
      </c>
      <c r="N339" s="217" t="s">
        <v>469</v>
      </c>
      <c r="O339" s="200" t="s">
        <v>541</v>
      </c>
      <c r="Q339" s="269">
        <v>0.03</v>
      </c>
      <c r="R339" s="213">
        <v>369.62</v>
      </c>
      <c r="S339" s="277">
        <v>0</v>
      </c>
      <c r="T339" s="278" t="e">
        <f>Table_1[[#This Row],[Rain_fall (mm)]]/Table_1[[#This Row],[Factors]]</f>
        <v>#VALUE!</v>
      </c>
      <c r="U339" s="278" t="s">
        <v>562</v>
      </c>
      <c r="V339" s="15"/>
      <c r="W339" s="15"/>
      <c r="X339" s="15"/>
      <c r="Y339" s="15"/>
      <c r="Z339" s="16"/>
    </row>
    <row r="340" spans="1:26" ht="50" customHeight="1" x14ac:dyDescent="0.35">
      <c r="A340" s="10">
        <v>339</v>
      </c>
      <c r="B340" s="160" t="s">
        <v>13</v>
      </c>
      <c r="C340" s="168" t="s">
        <v>545</v>
      </c>
      <c r="D340" s="239">
        <v>44383</v>
      </c>
      <c r="E340" s="25">
        <v>21.047049637509499</v>
      </c>
      <c r="F340" s="25">
        <v>105.785443380244</v>
      </c>
      <c r="G340" s="10">
        <v>9.6300000000000008</v>
      </c>
      <c r="H340" s="236">
        <v>0.75</v>
      </c>
      <c r="I340" s="230">
        <v>0.70833333333333337</v>
      </c>
      <c r="J340" s="71">
        <v>1</v>
      </c>
      <c r="K340" s="229" t="s">
        <v>456</v>
      </c>
      <c r="L340" s="71">
        <v>20</v>
      </c>
      <c r="M340" s="71">
        <v>29</v>
      </c>
      <c r="N340" s="104" t="s">
        <v>466</v>
      </c>
      <c r="O340" s="200" t="s">
        <v>546</v>
      </c>
      <c r="Q340" s="269">
        <v>4.25</v>
      </c>
      <c r="R340" s="213">
        <v>401.35</v>
      </c>
      <c r="S340" s="277">
        <v>3.2</v>
      </c>
      <c r="T340" s="278" t="e">
        <f>Table_1[[#This Row],[Rain_fall (mm)]]/Table_1[[#This Row],[Factors]]</f>
        <v>#VALUE!</v>
      </c>
      <c r="U340" s="278" t="s">
        <v>562</v>
      </c>
      <c r="V340" s="15"/>
      <c r="W340" s="15"/>
      <c r="X340" s="15"/>
      <c r="Y340" s="15"/>
      <c r="Z340" s="16"/>
    </row>
    <row r="341" spans="1:26" ht="50.25" customHeight="1" x14ac:dyDescent="0.35">
      <c r="A341" s="8">
        <v>340</v>
      </c>
      <c r="B341" s="160" t="s">
        <v>13</v>
      </c>
      <c r="C341" s="168" t="s">
        <v>24</v>
      </c>
      <c r="D341" s="239">
        <v>44383</v>
      </c>
      <c r="E341" s="9">
        <v>21.033241976673999</v>
      </c>
      <c r="F341" s="9">
        <v>105.77889879743501</v>
      </c>
      <c r="G341" s="10">
        <v>7.54</v>
      </c>
      <c r="H341" s="236">
        <v>0.75</v>
      </c>
      <c r="I341" s="230">
        <v>0.70833333333333337</v>
      </c>
      <c r="J341" s="71">
        <v>1</v>
      </c>
      <c r="K341" s="229" t="s">
        <v>456</v>
      </c>
      <c r="L341" s="71">
        <v>20</v>
      </c>
      <c r="M341" s="71">
        <v>29</v>
      </c>
      <c r="N341" s="104" t="s">
        <v>466</v>
      </c>
      <c r="O341" s="200" t="s">
        <v>546</v>
      </c>
      <c r="Q341" s="269">
        <v>4.25</v>
      </c>
      <c r="R341" s="213">
        <v>318.24</v>
      </c>
      <c r="S341" s="277">
        <v>3.2</v>
      </c>
      <c r="T341" s="278" t="e">
        <f>Table_1[[#This Row],[Rain_fall (mm)]]/Table_1[[#This Row],[Factors]]</f>
        <v>#VALUE!</v>
      </c>
      <c r="U341" s="278" t="s">
        <v>562</v>
      </c>
      <c r="V341" s="15"/>
      <c r="W341" s="15"/>
      <c r="X341" s="15"/>
      <c r="Y341" s="15"/>
      <c r="Z341" s="16"/>
    </row>
    <row r="342" spans="1:26" ht="50.25" customHeight="1" x14ac:dyDescent="0.35">
      <c r="A342" s="10">
        <v>341</v>
      </c>
      <c r="B342" s="160" t="s">
        <v>13</v>
      </c>
      <c r="C342" s="168" t="s">
        <v>29</v>
      </c>
      <c r="D342" s="239">
        <v>44383</v>
      </c>
      <c r="E342" s="231">
        <v>21.0392615117294</v>
      </c>
      <c r="F342" s="231">
        <v>105.786138711909</v>
      </c>
      <c r="G342" s="232">
        <v>8.76</v>
      </c>
      <c r="H342" s="236">
        <v>0.75</v>
      </c>
      <c r="I342" s="230">
        <v>0.70833333333333337</v>
      </c>
      <c r="J342" s="71">
        <v>1</v>
      </c>
      <c r="K342" s="229" t="s">
        <v>456</v>
      </c>
      <c r="L342" s="71">
        <v>10</v>
      </c>
      <c r="M342" s="71">
        <v>29</v>
      </c>
      <c r="N342" s="104" t="s">
        <v>466</v>
      </c>
      <c r="O342" s="200" t="s">
        <v>546</v>
      </c>
      <c r="Q342" s="269">
        <v>4.25</v>
      </c>
      <c r="R342" s="213">
        <v>88.54</v>
      </c>
      <c r="S342" s="277">
        <v>3.2</v>
      </c>
      <c r="T342" s="278" t="e">
        <f>Table_1[[#This Row],[Rain_fall (mm)]]/Table_1[[#This Row],[Factors]]</f>
        <v>#VALUE!</v>
      </c>
      <c r="U342" s="278" t="s">
        <v>562</v>
      </c>
      <c r="V342" s="15"/>
      <c r="W342" s="15"/>
      <c r="X342" s="15"/>
      <c r="Y342" s="15"/>
      <c r="Z342" s="16"/>
    </row>
    <row r="343" spans="1:26" ht="50.25" customHeight="1" x14ac:dyDescent="0.35">
      <c r="A343" s="8">
        <v>342</v>
      </c>
      <c r="B343" s="242" t="s">
        <v>13</v>
      </c>
      <c r="C343" s="211" t="s">
        <v>14</v>
      </c>
      <c r="D343" s="243">
        <v>44383</v>
      </c>
      <c r="E343" s="255">
        <v>21.025261908951201</v>
      </c>
      <c r="F343" s="172">
        <v>105.795464406176</v>
      </c>
      <c r="G343" s="173">
        <v>12.92</v>
      </c>
      <c r="H343" s="236">
        <v>0.75</v>
      </c>
      <c r="I343" s="230">
        <v>0.70833333333333337</v>
      </c>
      <c r="J343" s="71">
        <v>1</v>
      </c>
      <c r="K343" s="229" t="s">
        <v>456</v>
      </c>
      <c r="L343" s="237">
        <v>20</v>
      </c>
      <c r="M343" s="237">
        <v>29</v>
      </c>
      <c r="N343" s="104" t="s">
        <v>466</v>
      </c>
      <c r="O343" s="200" t="s">
        <v>546</v>
      </c>
      <c r="Q343" s="269">
        <v>4.25</v>
      </c>
      <c r="R343" s="213">
        <v>206.43</v>
      </c>
      <c r="S343" s="277">
        <v>3.2</v>
      </c>
      <c r="T343" s="278" t="e">
        <f>Table_1[[#This Row],[Rain_fall (mm)]]/Table_1[[#This Row],[Factors]]</f>
        <v>#VALUE!</v>
      </c>
      <c r="U343" s="278" t="s">
        <v>562</v>
      </c>
      <c r="V343" s="15"/>
      <c r="W343" s="15"/>
      <c r="X343" s="15"/>
      <c r="Y343" s="15"/>
      <c r="Z343" s="16"/>
    </row>
    <row r="344" spans="1:26" ht="50.25" customHeight="1" x14ac:dyDescent="0.35">
      <c r="A344" s="240">
        <v>343</v>
      </c>
      <c r="B344" s="244" t="s">
        <v>88</v>
      </c>
      <c r="C344" s="244" t="s">
        <v>547</v>
      </c>
      <c r="D344" s="262">
        <v>45879</v>
      </c>
      <c r="E344" s="17">
        <v>21.018240540989002</v>
      </c>
      <c r="F344" s="17">
        <v>105.782186224421</v>
      </c>
      <c r="G344" s="10">
        <v>6.99</v>
      </c>
      <c r="H344" s="188">
        <v>0.29166666666666669</v>
      </c>
      <c r="I344" s="188">
        <v>0.375</v>
      </c>
      <c r="J344" s="71">
        <v>2</v>
      </c>
      <c r="K344" s="246" t="s">
        <v>456</v>
      </c>
      <c r="L344" s="247">
        <v>25</v>
      </c>
      <c r="M344" s="249">
        <v>115</v>
      </c>
      <c r="N344" s="104" t="s">
        <v>466</v>
      </c>
      <c r="O344" s="200" t="s">
        <v>550</v>
      </c>
      <c r="Q344" s="269">
        <v>15.38</v>
      </c>
      <c r="R344" s="213">
        <v>21.46</v>
      </c>
      <c r="S344" s="277">
        <v>3.1</v>
      </c>
      <c r="T344" s="278" t="e">
        <f>Table_1[[#This Row],[Rain_fall (mm)]]/Table_1[[#This Row],[Factors]]</f>
        <v>#VALUE!</v>
      </c>
      <c r="U344" s="278" t="s">
        <v>562</v>
      </c>
      <c r="V344" s="15"/>
      <c r="W344" s="15"/>
      <c r="X344" s="15"/>
      <c r="Y344" s="15"/>
      <c r="Z344" s="16"/>
    </row>
    <row r="345" spans="1:26" ht="50.25" customHeight="1" x14ac:dyDescent="0.35">
      <c r="A345" s="219">
        <v>344</v>
      </c>
      <c r="B345" s="245" t="s">
        <v>88</v>
      </c>
      <c r="C345" s="245" t="s">
        <v>548</v>
      </c>
      <c r="D345" s="262">
        <v>45879</v>
      </c>
      <c r="E345" s="25">
        <v>21.089020373234899</v>
      </c>
      <c r="F345" s="25">
        <v>105.78819486218001</v>
      </c>
      <c r="G345" s="10">
        <v>7.08</v>
      </c>
      <c r="H345" s="188">
        <v>0.29166666666666669</v>
      </c>
      <c r="I345" s="188">
        <v>0.375</v>
      </c>
      <c r="J345" s="71">
        <v>2</v>
      </c>
      <c r="K345" s="246" t="s">
        <v>456</v>
      </c>
      <c r="L345" s="248">
        <v>30</v>
      </c>
      <c r="M345" s="250">
        <v>115</v>
      </c>
      <c r="N345" s="104" t="s">
        <v>466</v>
      </c>
      <c r="O345" s="200" t="s">
        <v>550</v>
      </c>
      <c r="Q345" s="269">
        <v>15.38</v>
      </c>
      <c r="R345" s="213">
        <v>254.4</v>
      </c>
      <c r="S345" s="277">
        <v>1.6</v>
      </c>
      <c r="T345" s="278" t="e">
        <f>Table_1[[#This Row],[Rain_fall (mm)]]/Table_1[[#This Row],[Factors]]</f>
        <v>#VALUE!</v>
      </c>
      <c r="U345" s="278" t="s">
        <v>562</v>
      </c>
      <c r="V345" s="15"/>
      <c r="W345" s="15"/>
      <c r="X345" s="15"/>
      <c r="Y345" s="15"/>
      <c r="Z345" s="16"/>
    </row>
    <row r="346" spans="1:26" ht="50.25" customHeight="1" x14ac:dyDescent="0.35">
      <c r="A346" s="240">
        <v>345</v>
      </c>
      <c r="B346" s="244" t="s">
        <v>306</v>
      </c>
      <c r="C346" s="244" t="s">
        <v>549</v>
      </c>
      <c r="D346" s="262">
        <v>45879</v>
      </c>
      <c r="E346" s="258">
        <v>20.9575</v>
      </c>
      <c r="F346" s="258">
        <v>105.8038</v>
      </c>
      <c r="G346" s="241">
        <v>8.65</v>
      </c>
      <c r="H346" s="188">
        <v>0.29166666666666669</v>
      </c>
      <c r="I346" s="188">
        <v>0.375</v>
      </c>
      <c r="J346" s="71">
        <v>2</v>
      </c>
      <c r="K346" s="246" t="s">
        <v>456</v>
      </c>
      <c r="L346" s="247">
        <v>30</v>
      </c>
      <c r="M346" s="249">
        <v>95</v>
      </c>
      <c r="N346" s="104" t="s">
        <v>466</v>
      </c>
      <c r="O346" s="200" t="s">
        <v>550</v>
      </c>
      <c r="Q346" s="269">
        <v>15.38</v>
      </c>
      <c r="R346" s="213">
        <v>117.09</v>
      </c>
      <c r="S346" s="277">
        <v>3.1</v>
      </c>
      <c r="T346" s="278" t="e">
        <f>Table_1[[#This Row],[Rain_fall (mm)]]/Table_1[[#This Row],[Factors]]</f>
        <v>#VALUE!</v>
      </c>
      <c r="U346" s="278" t="s">
        <v>562</v>
      </c>
      <c r="V346" s="15"/>
      <c r="W346" s="15"/>
      <c r="X346" s="15"/>
      <c r="Y346" s="15"/>
      <c r="Z346" s="16"/>
    </row>
    <row r="347" spans="1:26" ht="50.25" customHeight="1" x14ac:dyDescent="0.35">
      <c r="A347" s="219">
        <v>346</v>
      </c>
      <c r="B347" s="213" t="s">
        <v>194</v>
      </c>
      <c r="C347" s="213" t="s">
        <v>555</v>
      </c>
      <c r="D347" s="251">
        <v>42225</v>
      </c>
      <c r="E347" s="259">
        <v>20.992280000000001</v>
      </c>
      <c r="F347" s="259">
        <v>105.84941999999999</v>
      </c>
      <c r="G347" s="241">
        <v>11.39</v>
      </c>
      <c r="H347" s="188">
        <v>0.25</v>
      </c>
      <c r="I347" s="188">
        <v>0.29166666666666669</v>
      </c>
      <c r="J347" s="71">
        <v>1</v>
      </c>
      <c r="K347" s="246" t="s">
        <v>456</v>
      </c>
      <c r="L347" s="238">
        <v>20</v>
      </c>
      <c r="M347" s="238"/>
      <c r="N347" s="104" t="s">
        <v>466</v>
      </c>
      <c r="O347" s="200" t="s">
        <v>552</v>
      </c>
      <c r="Q347" s="269">
        <v>0.01</v>
      </c>
      <c r="R347" s="213">
        <v>535.29999999999995</v>
      </c>
      <c r="S347" s="277">
        <v>0.1</v>
      </c>
      <c r="T347" s="278" t="e">
        <f>Table_1[[#This Row],[Rain_fall (mm)]]/Table_1[[#This Row],[Factors]]</f>
        <v>#VALUE!</v>
      </c>
      <c r="U347" s="278" t="s">
        <v>562</v>
      </c>
      <c r="V347" s="15"/>
      <c r="W347" s="15"/>
      <c r="X347" s="15"/>
      <c r="Y347" s="15"/>
      <c r="Z347" s="16"/>
    </row>
    <row r="348" spans="1:26" ht="50.25" customHeight="1" x14ac:dyDescent="0.35">
      <c r="A348" s="10">
        <v>347</v>
      </c>
      <c r="B348" s="228" t="s">
        <v>194</v>
      </c>
      <c r="C348" s="212" t="s">
        <v>397</v>
      </c>
      <c r="D348" s="251">
        <v>42225</v>
      </c>
      <c r="E348" s="260">
        <v>21.043009999999999</v>
      </c>
      <c r="F348" s="260">
        <v>105.83642</v>
      </c>
      <c r="G348" s="241">
        <v>11.74</v>
      </c>
      <c r="H348" s="188">
        <v>0.25</v>
      </c>
      <c r="I348" s="188">
        <v>0.29166666666666669</v>
      </c>
      <c r="J348" s="71">
        <v>1</v>
      </c>
      <c r="K348" s="246" t="s">
        <v>456</v>
      </c>
      <c r="L348" s="71">
        <v>15</v>
      </c>
      <c r="M348" s="71"/>
      <c r="N348" s="104" t="s">
        <v>466</v>
      </c>
      <c r="O348" s="200" t="s">
        <v>552</v>
      </c>
      <c r="Q348" s="269">
        <v>0.01</v>
      </c>
      <c r="R348" s="213">
        <v>105.15</v>
      </c>
      <c r="S348" s="277">
        <v>0.1</v>
      </c>
      <c r="T348" s="278" t="e">
        <f>Table_1[[#This Row],[Rain_fall (mm)]]/Table_1[[#This Row],[Factors]]</f>
        <v>#VALUE!</v>
      </c>
      <c r="U348" s="278" t="s">
        <v>562</v>
      </c>
      <c r="V348" s="15"/>
      <c r="W348" s="15"/>
      <c r="X348" s="15"/>
      <c r="Y348" s="15"/>
      <c r="Z348" s="16"/>
    </row>
    <row r="349" spans="1:26" ht="50.25" customHeight="1" x14ac:dyDescent="0.35">
      <c r="A349" s="8">
        <v>348</v>
      </c>
      <c r="B349" s="160" t="s">
        <v>13</v>
      </c>
      <c r="C349" s="211" t="s">
        <v>551</v>
      </c>
      <c r="D349" s="251">
        <v>42225</v>
      </c>
      <c r="E349" s="261">
        <v>21.031500000000001</v>
      </c>
      <c r="F349" s="261">
        <v>105.81507000000001</v>
      </c>
      <c r="G349" s="241">
        <v>10.15</v>
      </c>
      <c r="H349" s="188">
        <v>0.25</v>
      </c>
      <c r="I349" s="188">
        <v>0.29166666666666669</v>
      </c>
      <c r="J349" s="71">
        <v>1</v>
      </c>
      <c r="K349" s="246" t="s">
        <v>456</v>
      </c>
      <c r="L349" s="71">
        <v>20</v>
      </c>
      <c r="M349" s="71"/>
      <c r="N349" s="104" t="s">
        <v>466</v>
      </c>
      <c r="O349" s="200" t="s">
        <v>552</v>
      </c>
      <c r="Q349" s="269">
        <v>0.01</v>
      </c>
      <c r="R349" s="213">
        <v>448.82</v>
      </c>
      <c r="S349" s="277">
        <v>0.1</v>
      </c>
      <c r="T349" s="278" t="e">
        <f>Table_1[[#This Row],[Rain_fall (mm)]]/Table_1[[#This Row],[Factors]]</f>
        <v>#VALUE!</v>
      </c>
      <c r="U349" s="278" t="s">
        <v>562</v>
      </c>
      <c r="V349" s="15"/>
      <c r="W349" s="15"/>
      <c r="X349" s="15"/>
      <c r="Y349" s="15"/>
      <c r="Z349" s="16"/>
    </row>
    <row r="350" spans="1:26" ht="50.25" customHeight="1" x14ac:dyDescent="0.35">
      <c r="A350" s="10">
        <v>349</v>
      </c>
      <c r="B350" s="209" t="s">
        <v>194</v>
      </c>
      <c r="C350" s="215" t="s">
        <v>152</v>
      </c>
      <c r="D350" s="253">
        <v>42225</v>
      </c>
      <c r="E350" s="260">
        <v>21.045539999999999</v>
      </c>
      <c r="F350" s="260">
        <v>105.79199</v>
      </c>
      <c r="G350" s="254">
        <v>7.04</v>
      </c>
      <c r="H350" s="188">
        <v>0.25</v>
      </c>
      <c r="I350" s="188">
        <v>0.29166666666666669</v>
      </c>
      <c r="J350" s="71">
        <v>1</v>
      </c>
      <c r="K350" s="246" t="s">
        <v>456</v>
      </c>
      <c r="L350" s="71">
        <v>20</v>
      </c>
      <c r="M350" s="71"/>
      <c r="N350" s="104" t="s">
        <v>466</v>
      </c>
      <c r="O350" s="200" t="s">
        <v>552</v>
      </c>
      <c r="Q350" s="269">
        <v>0.01</v>
      </c>
      <c r="R350" s="213">
        <v>535.35</v>
      </c>
      <c r="S350" s="277">
        <v>0.1</v>
      </c>
      <c r="T350" s="278" t="e">
        <f>Table_1[[#This Row],[Rain_fall (mm)]]/Table_1[[#This Row],[Factors]]</f>
        <v>#VALUE!</v>
      </c>
      <c r="U350" s="278" t="s">
        <v>562</v>
      </c>
      <c r="V350" s="15"/>
      <c r="W350" s="15"/>
      <c r="X350" s="15"/>
      <c r="Y350" s="15"/>
      <c r="Z350" s="16"/>
    </row>
    <row r="351" spans="1:26" ht="50.25" customHeight="1" x14ac:dyDescent="0.35">
      <c r="A351" s="10">
        <v>350</v>
      </c>
      <c r="B351" s="209" t="s">
        <v>197</v>
      </c>
      <c r="C351" s="213" t="s">
        <v>187</v>
      </c>
      <c r="D351" s="263" t="s">
        <v>553</v>
      </c>
      <c r="E351" s="258">
        <v>21.031500000000001</v>
      </c>
      <c r="F351" s="258">
        <v>105.8458</v>
      </c>
      <c r="G351" s="265">
        <v>13</v>
      </c>
      <c r="H351" s="280">
        <v>0</v>
      </c>
      <c r="I351" s="71">
        <v>0</v>
      </c>
      <c r="J351" s="71">
        <v>0</v>
      </c>
      <c r="K351" s="246" t="s">
        <v>456</v>
      </c>
      <c r="L351" s="207">
        <v>30</v>
      </c>
      <c r="M351" s="207">
        <v>55</v>
      </c>
      <c r="N351" s="104" t="s">
        <v>466</v>
      </c>
      <c r="O351" s="252" t="s">
        <v>379</v>
      </c>
      <c r="Q351" s="269">
        <v>8.18</v>
      </c>
      <c r="R351" s="213">
        <v>560.41999999999996</v>
      </c>
      <c r="S351" s="277">
        <v>6.9</v>
      </c>
      <c r="T351" s="278" t="e">
        <f>Table_1[[#This Row],[Rain_fall (mm)]]/Table_1[[#This Row],[Factors]]</f>
        <v>#VALUE!</v>
      </c>
      <c r="U351" s="278" t="s">
        <v>562</v>
      </c>
      <c r="V351" s="15"/>
      <c r="W351" s="15"/>
      <c r="X351" s="15"/>
      <c r="Y351" s="15"/>
      <c r="Z351" s="16"/>
    </row>
    <row r="352" spans="1:26" ht="51.75" customHeight="1" x14ac:dyDescent="0.35">
      <c r="A352" s="10">
        <v>351</v>
      </c>
      <c r="B352" s="72" t="s">
        <v>194</v>
      </c>
      <c r="C352" s="215" t="s">
        <v>409</v>
      </c>
      <c r="D352" s="264">
        <v>45545</v>
      </c>
      <c r="E352" s="267">
        <v>21.0470616551377</v>
      </c>
      <c r="F352" s="267">
        <v>105.847123540745</v>
      </c>
      <c r="G352" s="266">
        <v>14.35</v>
      </c>
      <c r="H352" s="71">
        <v>0</v>
      </c>
      <c r="I352" s="71">
        <v>0</v>
      </c>
      <c r="J352" s="71">
        <v>0</v>
      </c>
      <c r="K352" s="76" t="s">
        <v>456</v>
      </c>
      <c r="L352" s="71">
        <v>60</v>
      </c>
      <c r="M352" s="103">
        <v>46048</v>
      </c>
      <c r="N352" s="104" t="s">
        <v>472</v>
      </c>
      <c r="O352" s="198" t="s">
        <v>410</v>
      </c>
      <c r="Q352" s="269">
        <v>69.239999999999995</v>
      </c>
      <c r="R352" s="213">
        <v>226.94</v>
      </c>
      <c r="S352" s="277">
        <v>27.1</v>
      </c>
      <c r="T352" s="278" t="e">
        <f>Table_1[[#This Row],[Rain_fall (mm)]]/Table_1[[#This Row],[Factors]]</f>
        <v>#VALUE!</v>
      </c>
      <c r="U352" s="278" t="s">
        <v>562</v>
      </c>
      <c r="V352" s="15"/>
      <c r="W352" s="15"/>
      <c r="X352" s="15"/>
      <c r="Y352" s="15"/>
      <c r="Z352" s="16"/>
    </row>
    <row r="353" spans="1:26" ht="15.75" customHeight="1" x14ac:dyDescent="0.35">
      <c r="A353" s="15"/>
      <c r="B353" s="106"/>
      <c r="C353" s="170"/>
      <c r="D353" s="141"/>
      <c r="E353" s="80"/>
      <c r="F353" s="80"/>
      <c r="G353" s="106"/>
      <c r="H353" s="106"/>
      <c r="I353" s="189"/>
      <c r="J353" s="106"/>
      <c r="K353" s="106"/>
      <c r="L353" s="107"/>
      <c r="M353" s="107"/>
      <c r="N353" s="106"/>
      <c r="O353" s="106"/>
      <c r="Q353" s="271"/>
      <c r="R353" s="15"/>
      <c r="S353" s="275"/>
      <c r="T353" s="15"/>
      <c r="U353" s="15"/>
      <c r="V353" s="15"/>
      <c r="W353" s="15"/>
      <c r="X353" s="15"/>
      <c r="Y353" s="15"/>
      <c r="Z353" s="16"/>
    </row>
    <row r="354" spans="1:26" ht="15.75" customHeight="1" x14ac:dyDescent="0.35">
      <c r="A354" s="15"/>
      <c r="B354" s="106"/>
      <c r="C354" s="170"/>
      <c r="D354" s="141"/>
      <c r="E354" s="80"/>
      <c r="F354" s="80"/>
      <c r="G354" s="106"/>
      <c r="H354" s="106"/>
      <c r="I354" s="189"/>
      <c r="J354" s="106"/>
      <c r="K354" s="106"/>
      <c r="L354" s="107"/>
      <c r="M354" s="107"/>
      <c r="N354" s="106"/>
      <c r="O354" s="106"/>
      <c r="Q354" s="271"/>
      <c r="R354" s="15"/>
      <c r="S354" s="275"/>
      <c r="T354" s="15"/>
      <c r="U354" s="15"/>
      <c r="V354" s="15"/>
      <c r="W354" s="15"/>
      <c r="X354" s="15"/>
      <c r="Y354" s="15"/>
      <c r="Z354" s="16"/>
    </row>
    <row r="355" spans="1:26" ht="15.75" customHeight="1" x14ac:dyDescent="0.35">
      <c r="A355" s="15"/>
      <c r="B355" s="106"/>
      <c r="C355" s="170"/>
      <c r="D355" s="141"/>
      <c r="E355" s="80"/>
      <c r="F355" s="80"/>
      <c r="G355" s="106"/>
      <c r="H355" s="106"/>
      <c r="I355" s="189"/>
      <c r="J355" s="106"/>
      <c r="K355" s="106"/>
      <c r="L355" s="107"/>
      <c r="M355" s="107"/>
      <c r="N355" s="106"/>
      <c r="O355" s="106"/>
      <c r="Q355" s="271"/>
      <c r="R355" s="15"/>
      <c r="S355" s="275"/>
      <c r="T355" s="15"/>
      <c r="U355" s="15"/>
      <c r="V355" s="15"/>
      <c r="W355" s="15"/>
      <c r="X355" s="15"/>
      <c r="Y355" s="15"/>
      <c r="Z355" s="16"/>
    </row>
    <row r="356" spans="1:26" ht="15.75" customHeight="1" x14ac:dyDescent="0.35">
      <c r="A356" s="15"/>
      <c r="B356" s="106"/>
      <c r="C356" s="170"/>
      <c r="D356" s="141"/>
      <c r="E356" s="80"/>
      <c r="F356" s="80"/>
      <c r="G356" s="106"/>
      <c r="H356" s="106"/>
      <c r="I356" s="189"/>
      <c r="J356" s="106"/>
      <c r="K356" s="106"/>
      <c r="L356" s="107"/>
      <c r="M356" s="107"/>
      <c r="N356" s="106"/>
      <c r="O356" s="106"/>
      <c r="Q356" s="271"/>
      <c r="R356" s="15"/>
      <c r="S356" s="275"/>
      <c r="T356" s="15"/>
      <c r="U356" s="15"/>
      <c r="V356" s="15"/>
      <c r="W356" s="15"/>
      <c r="X356" s="15"/>
      <c r="Y356" s="15"/>
      <c r="Z356" s="16"/>
    </row>
    <row r="357" spans="1:26" ht="15.75" customHeight="1" x14ac:dyDescent="0.35">
      <c r="A357" s="15"/>
      <c r="B357" s="106"/>
      <c r="C357" s="170"/>
      <c r="D357" s="141"/>
      <c r="E357" s="80"/>
      <c r="F357" s="80"/>
      <c r="G357" s="106"/>
      <c r="H357" s="106"/>
      <c r="I357" s="189"/>
      <c r="J357" s="106"/>
      <c r="K357" s="106"/>
      <c r="L357" s="107"/>
      <c r="M357" s="107"/>
      <c r="N357" s="106"/>
      <c r="O357" s="106"/>
      <c r="Q357" s="271"/>
      <c r="R357" s="15"/>
      <c r="S357" s="275"/>
      <c r="T357" s="15"/>
      <c r="U357" s="15"/>
      <c r="V357" s="15"/>
      <c r="W357" s="15"/>
      <c r="X357" s="15"/>
      <c r="Y357" s="15"/>
      <c r="Z357" s="16"/>
    </row>
    <row r="358" spans="1:26" ht="15.75" customHeight="1" x14ac:dyDescent="0.35">
      <c r="A358" s="15"/>
      <c r="B358" s="106"/>
      <c r="C358" s="170"/>
      <c r="D358" s="141"/>
      <c r="E358" s="80"/>
      <c r="F358" s="80"/>
      <c r="G358" s="106"/>
      <c r="H358" s="106"/>
      <c r="I358" s="189"/>
      <c r="J358" s="106"/>
      <c r="K358" s="106"/>
      <c r="L358" s="107"/>
      <c r="M358" s="107"/>
      <c r="N358" s="106"/>
      <c r="O358" s="106"/>
      <c r="Q358" s="271"/>
      <c r="R358" s="15"/>
      <c r="S358" s="275"/>
      <c r="T358" s="15"/>
      <c r="U358" s="15"/>
      <c r="V358" s="15"/>
      <c r="W358" s="15"/>
      <c r="X358" s="15"/>
      <c r="Y358" s="15"/>
      <c r="Z358" s="16"/>
    </row>
    <row r="359" spans="1:26" ht="15.75" customHeight="1" x14ac:dyDescent="0.35">
      <c r="A359" s="15"/>
      <c r="B359" s="106"/>
      <c r="C359" s="170"/>
      <c r="D359" s="141"/>
      <c r="E359" s="80"/>
      <c r="F359" s="80"/>
      <c r="G359" s="106"/>
      <c r="H359" s="106"/>
      <c r="I359" s="189"/>
      <c r="J359" s="106"/>
      <c r="K359" s="106"/>
      <c r="L359" s="107"/>
      <c r="M359" s="107"/>
      <c r="N359" s="106"/>
      <c r="O359" s="106"/>
      <c r="Q359" s="271"/>
      <c r="R359" s="15"/>
      <c r="S359" s="275"/>
      <c r="T359" s="15"/>
      <c r="U359" s="15"/>
      <c r="V359" s="15"/>
      <c r="W359" s="15"/>
      <c r="X359" s="15"/>
      <c r="Y359" s="15"/>
      <c r="Z359" s="16"/>
    </row>
    <row r="360" spans="1:26" ht="15.75" customHeight="1" x14ac:dyDescent="0.35">
      <c r="A360" s="15"/>
      <c r="B360" s="106"/>
      <c r="C360" s="170"/>
      <c r="D360" s="141"/>
      <c r="E360" s="80"/>
      <c r="F360" s="80"/>
      <c r="G360" s="106"/>
      <c r="H360" s="106"/>
      <c r="I360" s="189"/>
      <c r="J360" s="106"/>
      <c r="K360" s="106"/>
      <c r="L360" s="107"/>
      <c r="M360" s="107"/>
      <c r="N360" s="106"/>
      <c r="O360" s="106"/>
      <c r="Q360" s="271"/>
      <c r="R360" s="15"/>
      <c r="S360" s="275"/>
      <c r="T360" s="15"/>
      <c r="U360" s="15"/>
      <c r="V360" s="15"/>
      <c r="W360" s="15"/>
      <c r="X360" s="15"/>
      <c r="Y360" s="15"/>
      <c r="Z360" s="16"/>
    </row>
    <row r="361" spans="1:26" ht="15.75" customHeight="1" x14ac:dyDescent="0.35">
      <c r="A361" s="15"/>
      <c r="B361" s="106"/>
      <c r="C361" s="170"/>
      <c r="D361" s="141"/>
      <c r="E361" s="80"/>
      <c r="F361" s="80"/>
      <c r="G361" s="106"/>
      <c r="H361" s="106"/>
      <c r="I361" s="189"/>
      <c r="J361" s="106"/>
      <c r="K361" s="106"/>
      <c r="L361" s="107"/>
      <c r="M361" s="107"/>
      <c r="N361" s="106"/>
      <c r="O361" s="106"/>
      <c r="Q361" s="271"/>
      <c r="R361" s="15"/>
      <c r="S361" s="275"/>
      <c r="T361" s="15"/>
      <c r="U361" s="15"/>
      <c r="V361" s="15"/>
      <c r="W361" s="15"/>
      <c r="X361" s="15"/>
      <c r="Y361" s="15"/>
      <c r="Z361" s="16"/>
    </row>
    <row r="362" spans="1:26" ht="15.75" customHeight="1" x14ac:dyDescent="0.35">
      <c r="A362" s="15"/>
      <c r="B362" s="106"/>
      <c r="C362" s="170"/>
      <c r="D362" s="141"/>
      <c r="E362" s="80"/>
      <c r="F362" s="80"/>
      <c r="G362" s="106"/>
      <c r="H362" s="106"/>
      <c r="I362" s="189"/>
      <c r="J362" s="106"/>
      <c r="K362" s="106"/>
      <c r="L362" s="107"/>
      <c r="M362" s="107"/>
      <c r="N362" s="106"/>
      <c r="O362" s="106"/>
      <c r="Q362" s="271"/>
      <c r="R362" s="15"/>
      <c r="S362" s="275"/>
      <c r="T362" s="15"/>
      <c r="U362" s="15"/>
      <c r="V362" s="15"/>
      <c r="W362" s="15"/>
      <c r="X362" s="15"/>
      <c r="Y362" s="15"/>
      <c r="Z362" s="16"/>
    </row>
    <row r="363" spans="1:26" ht="15.75" customHeight="1" x14ac:dyDescent="0.35">
      <c r="A363" s="15"/>
      <c r="B363" s="106"/>
      <c r="C363" s="170"/>
      <c r="D363" s="141"/>
      <c r="E363" s="80"/>
      <c r="F363" s="80"/>
      <c r="G363" s="106"/>
      <c r="H363" s="106"/>
      <c r="I363" s="189"/>
      <c r="J363" s="106"/>
      <c r="K363" s="106"/>
      <c r="L363" s="107"/>
      <c r="M363" s="107"/>
      <c r="N363" s="106"/>
      <c r="O363" s="106"/>
      <c r="Q363" s="271"/>
      <c r="R363" s="15"/>
      <c r="S363" s="275"/>
      <c r="T363" s="15"/>
      <c r="U363" s="15"/>
      <c r="V363" s="15"/>
      <c r="W363" s="15"/>
      <c r="X363" s="15"/>
      <c r="Y363" s="15"/>
      <c r="Z363" s="16"/>
    </row>
    <row r="364" spans="1:26" ht="15.75" customHeight="1" x14ac:dyDescent="0.35">
      <c r="A364" s="15"/>
      <c r="B364" s="106"/>
      <c r="C364" s="170"/>
      <c r="D364" s="141"/>
      <c r="E364" s="80"/>
      <c r="F364" s="80"/>
      <c r="G364" s="106"/>
      <c r="H364" s="106"/>
      <c r="I364" s="189"/>
      <c r="J364" s="106"/>
      <c r="K364" s="106"/>
      <c r="L364" s="107"/>
      <c r="M364" s="107"/>
      <c r="N364" s="106"/>
      <c r="O364" s="106"/>
      <c r="Q364" s="271"/>
      <c r="R364" s="15"/>
      <c r="S364" s="275"/>
      <c r="T364" s="15"/>
      <c r="U364" s="15"/>
      <c r="V364" s="15"/>
      <c r="W364" s="15"/>
      <c r="X364" s="15"/>
      <c r="Y364" s="15"/>
      <c r="Z364" s="16"/>
    </row>
    <row r="365" spans="1:26" ht="15.75" customHeight="1" x14ac:dyDescent="0.35">
      <c r="A365" s="15"/>
      <c r="B365" s="106"/>
      <c r="C365" s="170"/>
      <c r="D365" s="141"/>
      <c r="E365" s="80"/>
      <c r="F365" s="80"/>
      <c r="G365" s="106"/>
      <c r="H365" s="106"/>
      <c r="I365" s="189"/>
      <c r="J365" s="106"/>
      <c r="K365" s="106"/>
      <c r="L365" s="107"/>
      <c r="M365" s="107"/>
      <c r="N365" s="106"/>
      <c r="O365" s="106"/>
      <c r="Q365" s="271"/>
      <c r="R365" s="15"/>
      <c r="S365" s="275"/>
      <c r="T365" s="15"/>
      <c r="U365" s="15"/>
      <c r="V365" s="15"/>
      <c r="W365" s="15"/>
      <c r="X365" s="15"/>
      <c r="Y365" s="15"/>
      <c r="Z365" s="16"/>
    </row>
    <row r="366" spans="1:26" ht="15.75" customHeight="1" x14ac:dyDescent="0.35">
      <c r="A366" s="15"/>
      <c r="B366" s="106"/>
      <c r="C366" s="170"/>
      <c r="D366" s="141"/>
      <c r="E366" s="80"/>
      <c r="F366" s="80"/>
      <c r="G366" s="106"/>
      <c r="H366" s="106"/>
      <c r="I366" s="189"/>
      <c r="J366" s="106"/>
      <c r="K366" s="106"/>
      <c r="L366" s="107"/>
      <c r="M366" s="107"/>
      <c r="N366" s="106"/>
      <c r="O366" s="106"/>
      <c r="Q366" s="271"/>
      <c r="R366" s="15"/>
      <c r="S366" s="275"/>
      <c r="T366" s="15"/>
      <c r="U366" s="15"/>
      <c r="V366" s="15"/>
      <c r="W366" s="15"/>
      <c r="X366" s="15"/>
      <c r="Y366" s="15"/>
      <c r="Z366" s="16"/>
    </row>
    <row r="367" spans="1:26" ht="15.75" customHeight="1" x14ac:dyDescent="0.35">
      <c r="A367" s="15"/>
      <c r="B367" s="106"/>
      <c r="C367" s="170"/>
      <c r="D367" s="141"/>
      <c r="E367" s="80"/>
      <c r="F367" s="80"/>
      <c r="G367" s="106"/>
      <c r="H367" s="106"/>
      <c r="I367" s="189"/>
      <c r="J367" s="106"/>
      <c r="K367" s="106"/>
      <c r="L367" s="107"/>
      <c r="M367" s="107"/>
      <c r="N367" s="106"/>
      <c r="O367" s="106"/>
      <c r="Q367" s="271"/>
      <c r="R367" s="15"/>
      <c r="S367" s="275"/>
      <c r="T367" s="15"/>
      <c r="U367" s="15"/>
      <c r="V367" s="15"/>
      <c r="W367" s="15"/>
      <c r="X367" s="15"/>
      <c r="Y367" s="15"/>
      <c r="Z367" s="16"/>
    </row>
    <row r="368" spans="1:26" ht="15.75" customHeight="1" x14ac:dyDescent="0.35">
      <c r="A368" s="15"/>
      <c r="B368" s="106"/>
      <c r="C368" s="170"/>
      <c r="D368" s="141"/>
      <c r="E368" s="80"/>
      <c r="F368" s="80"/>
      <c r="G368" s="106"/>
      <c r="H368" s="106"/>
      <c r="I368" s="189"/>
      <c r="J368" s="106"/>
      <c r="K368" s="106"/>
      <c r="L368" s="107"/>
      <c r="M368" s="107"/>
      <c r="N368" s="106"/>
      <c r="O368" s="106"/>
      <c r="Q368" s="271"/>
      <c r="R368" s="15"/>
      <c r="S368" s="275"/>
      <c r="T368" s="15"/>
      <c r="U368" s="15"/>
      <c r="V368" s="15"/>
      <c r="W368" s="15"/>
      <c r="X368" s="15"/>
      <c r="Y368" s="15"/>
      <c r="Z368" s="16"/>
    </row>
    <row r="369" spans="1:26" ht="15.75" customHeight="1" x14ac:dyDescent="0.35">
      <c r="A369" s="15"/>
      <c r="B369" s="106"/>
      <c r="C369" s="170"/>
      <c r="D369" s="141"/>
      <c r="E369" s="80"/>
      <c r="F369" s="80"/>
      <c r="G369" s="106"/>
      <c r="H369" s="106"/>
      <c r="I369" s="189"/>
      <c r="J369" s="106"/>
      <c r="K369" s="106"/>
      <c r="L369" s="107"/>
      <c r="M369" s="107"/>
      <c r="N369" s="106"/>
      <c r="O369" s="106"/>
      <c r="Q369" s="271"/>
      <c r="R369" s="15"/>
      <c r="S369" s="275"/>
      <c r="T369" s="15"/>
      <c r="U369" s="15"/>
      <c r="V369" s="15"/>
      <c r="W369" s="15"/>
      <c r="X369" s="15"/>
      <c r="Y369" s="15"/>
      <c r="Z369" s="16"/>
    </row>
    <row r="370" spans="1:26" ht="15.75" customHeight="1" x14ac:dyDescent="0.35">
      <c r="A370" s="15"/>
      <c r="B370" s="106"/>
      <c r="C370" s="170"/>
      <c r="D370" s="141"/>
      <c r="E370" s="80"/>
      <c r="F370" s="80"/>
      <c r="G370" s="106"/>
      <c r="H370" s="106"/>
      <c r="I370" s="189"/>
      <c r="J370" s="106"/>
      <c r="K370" s="106"/>
      <c r="L370" s="107"/>
      <c r="M370" s="107"/>
      <c r="N370" s="106"/>
      <c r="O370" s="106"/>
      <c r="Q370" s="271"/>
      <c r="R370" s="15"/>
      <c r="S370" s="275"/>
      <c r="T370" s="15"/>
      <c r="U370" s="15"/>
      <c r="V370" s="15"/>
      <c r="W370" s="15"/>
      <c r="X370" s="15"/>
      <c r="Y370" s="15"/>
      <c r="Z370" s="16"/>
    </row>
    <row r="371" spans="1:26" ht="15.75" customHeight="1" x14ac:dyDescent="0.35">
      <c r="A371" s="15"/>
      <c r="B371" s="106"/>
      <c r="C371" s="170"/>
      <c r="D371" s="141"/>
      <c r="E371" s="80"/>
      <c r="F371" s="80"/>
      <c r="G371" s="106"/>
      <c r="H371" s="106"/>
      <c r="I371" s="189"/>
      <c r="J371" s="106"/>
      <c r="K371" s="106"/>
      <c r="L371" s="107"/>
      <c r="M371" s="107"/>
      <c r="N371" s="106"/>
      <c r="O371" s="106"/>
      <c r="Q371" s="271"/>
      <c r="R371" s="15"/>
      <c r="S371" s="275"/>
      <c r="T371" s="15"/>
      <c r="U371" s="15"/>
      <c r="V371" s="15"/>
      <c r="W371" s="15"/>
      <c r="X371" s="15"/>
      <c r="Y371" s="15"/>
      <c r="Z371" s="16"/>
    </row>
    <row r="372" spans="1:26" ht="15.75" customHeight="1" x14ac:dyDescent="0.35">
      <c r="A372" s="15"/>
      <c r="B372" s="106"/>
      <c r="C372" s="170"/>
      <c r="D372" s="141"/>
      <c r="E372" s="80"/>
      <c r="F372" s="80"/>
      <c r="G372" s="106"/>
      <c r="H372" s="106"/>
      <c r="I372" s="189"/>
      <c r="J372" s="106"/>
      <c r="K372" s="106"/>
      <c r="L372" s="107"/>
      <c r="M372" s="107"/>
      <c r="N372" s="106"/>
      <c r="O372" s="106"/>
      <c r="Q372" s="271"/>
      <c r="R372" s="15"/>
      <c r="S372" s="275"/>
      <c r="T372" s="15"/>
      <c r="U372" s="15"/>
      <c r="V372" s="15"/>
      <c r="W372" s="15"/>
      <c r="X372" s="15"/>
      <c r="Y372" s="15"/>
      <c r="Z372" s="16"/>
    </row>
    <row r="373" spans="1:26" ht="15.75" customHeight="1" x14ac:dyDescent="0.35">
      <c r="A373" s="15"/>
      <c r="B373" s="106"/>
      <c r="C373" s="170"/>
      <c r="D373" s="141"/>
      <c r="E373" s="80"/>
      <c r="F373" s="80"/>
      <c r="G373" s="106"/>
      <c r="H373" s="106"/>
      <c r="I373" s="189"/>
      <c r="J373" s="106"/>
      <c r="K373" s="106"/>
      <c r="L373" s="107"/>
      <c r="M373" s="107"/>
      <c r="N373" s="106"/>
      <c r="O373" s="106"/>
      <c r="Q373" s="271"/>
      <c r="R373" s="15"/>
      <c r="S373" s="275"/>
      <c r="T373" s="15"/>
      <c r="U373" s="15"/>
      <c r="V373" s="15"/>
      <c r="W373" s="15"/>
      <c r="X373" s="15"/>
      <c r="Y373" s="15"/>
      <c r="Z373" s="16"/>
    </row>
    <row r="374" spans="1:26" ht="15.75" customHeight="1" x14ac:dyDescent="0.35">
      <c r="A374" s="15"/>
      <c r="B374" s="106"/>
      <c r="C374" s="170"/>
      <c r="D374" s="141"/>
      <c r="E374" s="80"/>
      <c r="F374" s="80"/>
      <c r="G374" s="106"/>
      <c r="H374" s="106"/>
      <c r="I374" s="189"/>
      <c r="J374" s="106"/>
      <c r="K374" s="106"/>
      <c r="L374" s="107"/>
      <c r="M374" s="107"/>
      <c r="N374" s="106"/>
      <c r="O374" s="106"/>
      <c r="Q374" s="271"/>
      <c r="R374" s="15"/>
      <c r="S374" s="275"/>
      <c r="T374" s="15"/>
      <c r="U374" s="15"/>
      <c r="V374" s="15"/>
      <c r="W374" s="15"/>
      <c r="X374" s="15"/>
      <c r="Y374" s="15"/>
      <c r="Z374" s="16"/>
    </row>
    <row r="375" spans="1:26" ht="15.75" customHeight="1" x14ac:dyDescent="0.35">
      <c r="A375" s="15"/>
      <c r="B375" s="106"/>
      <c r="C375" s="170"/>
      <c r="D375" s="141"/>
      <c r="E375" s="80"/>
      <c r="F375" s="80"/>
      <c r="G375" s="106"/>
      <c r="H375" s="106"/>
      <c r="I375" s="189"/>
      <c r="J375" s="106"/>
      <c r="K375" s="106"/>
      <c r="L375" s="107"/>
      <c r="M375" s="107"/>
      <c r="N375" s="106"/>
      <c r="O375" s="106"/>
      <c r="Q375" s="271"/>
      <c r="R375" s="15"/>
      <c r="S375" s="275"/>
      <c r="T375" s="15"/>
      <c r="U375" s="15"/>
      <c r="V375" s="15"/>
      <c r="W375" s="15"/>
      <c r="X375" s="15"/>
      <c r="Y375" s="15"/>
      <c r="Z375" s="16"/>
    </row>
    <row r="376" spans="1:26" ht="15.75" customHeight="1" x14ac:dyDescent="0.35">
      <c r="A376" s="15"/>
      <c r="B376" s="106"/>
      <c r="C376" s="170"/>
      <c r="D376" s="141"/>
      <c r="E376" s="80"/>
      <c r="F376" s="80"/>
      <c r="G376" s="106"/>
      <c r="H376" s="106"/>
      <c r="I376" s="189"/>
      <c r="J376" s="106"/>
      <c r="K376" s="106"/>
      <c r="L376" s="107"/>
      <c r="M376" s="107"/>
      <c r="N376" s="106"/>
      <c r="O376" s="106"/>
      <c r="Q376" s="271"/>
      <c r="R376" s="15"/>
      <c r="S376" s="275"/>
      <c r="T376" s="15"/>
      <c r="U376" s="15"/>
      <c r="V376" s="15"/>
      <c r="W376" s="15"/>
      <c r="X376" s="15"/>
      <c r="Y376" s="15"/>
      <c r="Z376" s="16"/>
    </row>
    <row r="377" spans="1:26" ht="15.75" customHeight="1" x14ac:dyDescent="0.35">
      <c r="A377" s="15"/>
      <c r="B377" s="106"/>
      <c r="C377" s="170"/>
      <c r="D377" s="141"/>
      <c r="E377" s="80"/>
      <c r="F377" s="80"/>
      <c r="G377" s="106"/>
      <c r="H377" s="106"/>
      <c r="I377" s="189"/>
      <c r="J377" s="106"/>
      <c r="K377" s="106"/>
      <c r="L377" s="107"/>
      <c r="M377" s="107"/>
      <c r="N377" s="106"/>
      <c r="O377" s="106"/>
      <c r="Q377" s="271"/>
      <c r="R377" s="15"/>
      <c r="S377" s="275"/>
      <c r="T377" s="15"/>
      <c r="U377" s="15"/>
      <c r="V377" s="15"/>
      <c r="W377" s="15"/>
      <c r="X377" s="15"/>
      <c r="Y377" s="15"/>
      <c r="Z377" s="16"/>
    </row>
    <row r="378" spans="1:26" ht="15.75" customHeight="1" x14ac:dyDescent="0.35">
      <c r="A378" s="15"/>
      <c r="B378" s="106"/>
      <c r="C378" s="170"/>
      <c r="D378" s="141"/>
      <c r="E378" s="80"/>
      <c r="F378" s="80"/>
      <c r="G378" s="106"/>
      <c r="H378" s="106"/>
      <c r="I378" s="189"/>
      <c r="J378" s="106"/>
      <c r="K378" s="106"/>
      <c r="L378" s="107"/>
      <c r="M378" s="107"/>
      <c r="N378" s="106"/>
      <c r="O378" s="106"/>
      <c r="Q378" s="271"/>
      <c r="R378" s="15"/>
      <c r="S378" s="275"/>
      <c r="T378" s="15"/>
      <c r="U378" s="15"/>
      <c r="V378" s="15"/>
      <c r="W378" s="15"/>
      <c r="X378" s="15"/>
      <c r="Y378" s="15"/>
      <c r="Z378" s="16"/>
    </row>
    <row r="379" spans="1:26" ht="15.75" customHeight="1" x14ac:dyDescent="0.35">
      <c r="A379" s="15"/>
      <c r="B379" s="106"/>
      <c r="C379" s="170"/>
      <c r="D379" s="141"/>
      <c r="E379" s="80"/>
      <c r="F379" s="80"/>
      <c r="G379" s="106"/>
      <c r="H379" s="106"/>
      <c r="I379" s="189"/>
      <c r="J379" s="106"/>
      <c r="K379" s="106"/>
      <c r="L379" s="107"/>
      <c r="M379" s="107"/>
      <c r="N379" s="106"/>
      <c r="O379" s="106"/>
      <c r="Q379" s="271"/>
      <c r="R379" s="15"/>
      <c r="S379" s="275"/>
      <c r="T379" s="15"/>
      <c r="U379" s="15"/>
      <c r="V379" s="15"/>
      <c r="W379" s="15"/>
      <c r="X379" s="15"/>
      <c r="Y379" s="15"/>
      <c r="Z379" s="16"/>
    </row>
    <row r="380" spans="1:26" ht="15.75" customHeight="1" x14ac:dyDescent="0.35">
      <c r="A380" s="15"/>
      <c r="B380" s="106"/>
      <c r="C380" s="170"/>
      <c r="D380" s="141"/>
      <c r="E380" s="80"/>
      <c r="F380" s="80"/>
      <c r="G380" s="106"/>
      <c r="H380" s="106"/>
      <c r="I380" s="189"/>
      <c r="J380" s="106"/>
      <c r="K380" s="106"/>
      <c r="L380" s="107"/>
      <c r="M380" s="107"/>
      <c r="N380" s="106"/>
      <c r="O380" s="106"/>
      <c r="Q380" s="271"/>
      <c r="R380" s="15"/>
      <c r="S380" s="275"/>
      <c r="T380" s="15"/>
      <c r="U380" s="15"/>
      <c r="V380" s="15"/>
      <c r="W380" s="15"/>
      <c r="X380" s="15"/>
      <c r="Y380" s="15"/>
      <c r="Z380" s="16"/>
    </row>
    <row r="381" spans="1:26" ht="15.75" customHeight="1" x14ac:dyDescent="0.35">
      <c r="A381" s="15"/>
      <c r="B381" s="106"/>
      <c r="C381" s="170"/>
      <c r="D381" s="141"/>
      <c r="E381" s="80"/>
      <c r="F381" s="80"/>
      <c r="G381" s="106"/>
      <c r="H381" s="106"/>
      <c r="I381" s="189"/>
      <c r="J381" s="106"/>
      <c r="K381" s="106"/>
      <c r="L381" s="107"/>
      <c r="M381" s="107"/>
      <c r="N381" s="106"/>
      <c r="O381" s="106"/>
      <c r="Q381" s="271"/>
      <c r="R381" s="15"/>
      <c r="S381" s="275"/>
      <c r="T381" s="15"/>
      <c r="U381" s="15"/>
      <c r="V381" s="15"/>
      <c r="W381" s="15"/>
      <c r="X381" s="15"/>
      <c r="Y381" s="15"/>
      <c r="Z381" s="16"/>
    </row>
    <row r="382" spans="1:26" ht="15.75" customHeight="1" x14ac:dyDescent="0.35">
      <c r="A382" s="15"/>
      <c r="B382" s="106"/>
      <c r="C382" s="170"/>
      <c r="D382" s="141"/>
      <c r="E382" s="80"/>
      <c r="F382" s="80"/>
      <c r="G382" s="106"/>
      <c r="H382" s="106"/>
      <c r="I382" s="189"/>
      <c r="J382" s="106"/>
      <c r="K382" s="106"/>
      <c r="L382" s="107"/>
      <c r="M382" s="107"/>
      <c r="N382" s="106"/>
      <c r="O382" s="106"/>
      <c r="Q382" s="271"/>
      <c r="R382" s="15"/>
      <c r="S382" s="275"/>
      <c r="T382" s="15"/>
      <c r="U382" s="15"/>
      <c r="V382" s="15"/>
      <c r="W382" s="15"/>
      <c r="X382" s="15"/>
      <c r="Y382" s="15"/>
      <c r="Z382" s="16"/>
    </row>
    <row r="383" spans="1:26" ht="15.75" customHeight="1" x14ac:dyDescent="0.35">
      <c r="A383" s="15"/>
      <c r="B383" s="106"/>
      <c r="C383" s="170"/>
      <c r="D383" s="141"/>
      <c r="E383" s="80"/>
      <c r="F383" s="80"/>
      <c r="G383" s="106"/>
      <c r="H383" s="106"/>
      <c r="I383" s="189"/>
      <c r="J383" s="106"/>
      <c r="K383" s="106"/>
      <c r="L383" s="107"/>
      <c r="M383" s="107"/>
      <c r="N383" s="106"/>
      <c r="O383" s="106"/>
      <c r="Q383" s="271"/>
      <c r="R383" s="15"/>
      <c r="S383" s="275"/>
      <c r="T383" s="15"/>
      <c r="U383" s="15"/>
      <c r="V383" s="15"/>
      <c r="W383" s="15"/>
      <c r="X383" s="15"/>
      <c r="Y383" s="15"/>
      <c r="Z383" s="16"/>
    </row>
    <row r="384" spans="1:26" ht="15.75" customHeight="1" x14ac:dyDescent="0.35">
      <c r="A384" s="15"/>
      <c r="B384" s="106"/>
      <c r="C384" s="170"/>
      <c r="D384" s="141"/>
      <c r="E384" s="80"/>
      <c r="F384" s="80"/>
      <c r="G384" s="106"/>
      <c r="H384" s="106"/>
      <c r="I384" s="189"/>
      <c r="J384" s="106"/>
      <c r="K384" s="106"/>
      <c r="L384" s="107"/>
      <c r="M384" s="107"/>
      <c r="N384" s="106"/>
      <c r="O384" s="106"/>
      <c r="Q384" s="271"/>
      <c r="R384" s="15"/>
      <c r="S384" s="275"/>
      <c r="T384" s="15"/>
      <c r="U384" s="15"/>
      <c r="V384" s="15"/>
      <c r="W384" s="15"/>
      <c r="X384" s="15"/>
      <c r="Y384" s="15"/>
      <c r="Z384" s="16"/>
    </row>
    <row r="385" spans="1:26" ht="15.75" customHeight="1" x14ac:dyDescent="0.35">
      <c r="A385" s="15"/>
      <c r="B385" s="106"/>
      <c r="C385" s="170"/>
      <c r="D385" s="141"/>
      <c r="E385" s="80"/>
      <c r="F385" s="80"/>
      <c r="G385" s="106"/>
      <c r="H385" s="106"/>
      <c r="I385" s="189"/>
      <c r="J385" s="106"/>
      <c r="K385" s="106"/>
      <c r="L385" s="107"/>
      <c r="M385" s="107"/>
      <c r="N385" s="106"/>
      <c r="O385" s="106"/>
      <c r="Q385" s="271"/>
      <c r="R385" s="15"/>
      <c r="S385" s="275"/>
      <c r="T385" s="15"/>
      <c r="U385" s="15"/>
      <c r="V385" s="15"/>
      <c r="W385" s="15"/>
      <c r="X385" s="15"/>
      <c r="Y385" s="15"/>
      <c r="Z385" s="16"/>
    </row>
    <row r="386" spans="1:26" ht="15.75" customHeight="1" x14ac:dyDescent="0.35">
      <c r="A386" s="15"/>
      <c r="B386" s="106"/>
      <c r="C386" s="170"/>
      <c r="D386" s="141"/>
      <c r="E386" s="80"/>
      <c r="F386" s="80"/>
      <c r="G386" s="106"/>
      <c r="H386" s="106"/>
      <c r="I386" s="189"/>
      <c r="J386" s="106"/>
      <c r="K386" s="106"/>
      <c r="L386" s="107"/>
      <c r="M386" s="107"/>
      <c r="N386" s="106"/>
      <c r="O386" s="106"/>
      <c r="Q386" s="271"/>
      <c r="R386" s="15"/>
      <c r="S386" s="275"/>
      <c r="T386" s="15"/>
      <c r="U386" s="15"/>
      <c r="V386" s="15"/>
      <c r="W386" s="15"/>
      <c r="X386" s="15"/>
      <c r="Y386" s="15"/>
      <c r="Z386" s="16"/>
    </row>
    <row r="387" spans="1:26" ht="15.75" customHeight="1" x14ac:dyDescent="0.35">
      <c r="A387" s="15"/>
      <c r="B387" s="106"/>
      <c r="C387" s="170"/>
      <c r="D387" s="141"/>
      <c r="E387" s="80"/>
      <c r="F387" s="80"/>
      <c r="G387" s="106"/>
      <c r="H387" s="106"/>
      <c r="I387" s="189"/>
      <c r="J387" s="106"/>
      <c r="K387" s="106"/>
      <c r="L387" s="107"/>
      <c r="M387" s="107"/>
      <c r="N387" s="106"/>
      <c r="O387" s="106"/>
      <c r="Q387" s="271"/>
      <c r="R387" s="15"/>
      <c r="S387" s="275"/>
      <c r="T387" s="15"/>
      <c r="U387" s="15"/>
      <c r="V387" s="15"/>
      <c r="W387" s="15"/>
      <c r="X387" s="15"/>
      <c r="Y387" s="15"/>
      <c r="Z387" s="16"/>
    </row>
    <row r="388" spans="1:26" ht="15.75" customHeight="1" x14ac:dyDescent="0.35">
      <c r="A388" s="15"/>
      <c r="B388" s="106"/>
      <c r="C388" s="170"/>
      <c r="D388" s="141"/>
      <c r="E388" s="80"/>
      <c r="F388" s="80"/>
      <c r="G388" s="106"/>
      <c r="H388" s="106"/>
      <c r="I388" s="189"/>
      <c r="J388" s="106"/>
      <c r="K388" s="106"/>
      <c r="L388" s="107"/>
      <c r="M388" s="107"/>
      <c r="N388" s="106"/>
      <c r="O388" s="106"/>
      <c r="Q388" s="271"/>
      <c r="R388" s="15"/>
      <c r="S388" s="275"/>
      <c r="T388" s="15"/>
      <c r="U388" s="15"/>
      <c r="V388" s="15"/>
      <c r="W388" s="15"/>
      <c r="X388" s="15"/>
      <c r="Y388" s="15"/>
      <c r="Z388" s="16"/>
    </row>
    <row r="389" spans="1:26" ht="15.75" customHeight="1" x14ac:dyDescent="0.35">
      <c r="A389" s="15"/>
      <c r="B389" s="106"/>
      <c r="C389" s="170"/>
      <c r="D389" s="141"/>
      <c r="E389" s="80"/>
      <c r="F389" s="80"/>
      <c r="G389" s="106"/>
      <c r="H389" s="106"/>
      <c r="I389" s="189"/>
      <c r="J389" s="106"/>
      <c r="K389" s="106"/>
      <c r="L389" s="107"/>
      <c r="M389" s="107"/>
      <c r="N389" s="106"/>
      <c r="O389" s="106"/>
      <c r="Q389" s="271"/>
      <c r="R389" s="15"/>
      <c r="S389" s="275"/>
      <c r="T389" s="15"/>
      <c r="U389" s="15"/>
      <c r="V389" s="15"/>
      <c r="W389" s="15"/>
      <c r="X389" s="15"/>
      <c r="Y389" s="15"/>
      <c r="Z389" s="16"/>
    </row>
    <row r="390" spans="1:26" ht="15.75" customHeight="1" x14ac:dyDescent="0.35">
      <c r="A390" s="15"/>
      <c r="B390" s="106"/>
      <c r="C390" s="170"/>
      <c r="D390" s="141"/>
      <c r="E390" s="80"/>
      <c r="F390" s="80"/>
      <c r="G390" s="106"/>
      <c r="H390" s="106"/>
      <c r="I390" s="189"/>
      <c r="J390" s="106"/>
      <c r="K390" s="106"/>
      <c r="L390" s="107"/>
      <c r="M390" s="107"/>
      <c r="N390" s="106"/>
      <c r="O390" s="106"/>
      <c r="Q390" s="271"/>
      <c r="R390" s="15"/>
      <c r="S390" s="275"/>
      <c r="T390" s="15"/>
      <c r="U390" s="15"/>
      <c r="V390" s="15"/>
      <c r="W390" s="15"/>
      <c r="X390" s="15"/>
      <c r="Y390" s="15"/>
      <c r="Z390" s="16"/>
    </row>
    <row r="391" spans="1:26" ht="15.75" customHeight="1" x14ac:dyDescent="0.35">
      <c r="A391" s="15"/>
      <c r="B391" s="106"/>
      <c r="C391" s="170"/>
      <c r="D391" s="141"/>
      <c r="E391" s="80"/>
      <c r="F391" s="80"/>
      <c r="G391" s="106"/>
      <c r="H391" s="106"/>
      <c r="I391" s="189"/>
      <c r="J391" s="106"/>
      <c r="K391" s="106"/>
      <c r="L391" s="107"/>
      <c r="M391" s="107"/>
      <c r="N391" s="106"/>
      <c r="O391" s="106"/>
      <c r="Q391" s="271"/>
      <c r="R391" s="15"/>
      <c r="S391" s="275"/>
      <c r="T391" s="15"/>
      <c r="U391" s="15"/>
      <c r="V391" s="15"/>
      <c r="W391" s="15"/>
      <c r="X391" s="15"/>
      <c r="Y391" s="15"/>
      <c r="Z391" s="16"/>
    </row>
    <row r="392" spans="1:26" ht="15.75" customHeight="1" x14ac:dyDescent="0.35">
      <c r="A392" s="15"/>
      <c r="B392" s="106"/>
      <c r="C392" s="170"/>
      <c r="D392" s="141"/>
      <c r="E392" s="80"/>
      <c r="F392" s="80"/>
      <c r="G392" s="106"/>
      <c r="H392" s="106"/>
      <c r="I392" s="189"/>
      <c r="J392" s="106"/>
      <c r="K392" s="106"/>
      <c r="L392" s="107"/>
      <c r="M392" s="107"/>
      <c r="N392" s="106"/>
      <c r="O392" s="106"/>
      <c r="Q392" s="271"/>
      <c r="R392" s="15"/>
      <c r="S392" s="275"/>
      <c r="T392" s="15"/>
      <c r="U392" s="15"/>
      <c r="V392" s="15"/>
      <c r="W392" s="15"/>
      <c r="X392" s="15"/>
      <c r="Y392" s="15"/>
      <c r="Z392" s="16"/>
    </row>
    <row r="393" spans="1:26" ht="15.75" customHeight="1" x14ac:dyDescent="0.35">
      <c r="A393" s="15"/>
      <c r="B393" s="106"/>
      <c r="C393" s="170"/>
      <c r="D393" s="141"/>
      <c r="E393" s="80"/>
      <c r="F393" s="80"/>
      <c r="G393" s="106"/>
      <c r="H393" s="106"/>
      <c r="I393" s="189"/>
      <c r="J393" s="106"/>
      <c r="K393" s="106"/>
      <c r="L393" s="107"/>
      <c r="M393" s="107"/>
      <c r="N393" s="106"/>
      <c r="O393" s="106"/>
      <c r="Q393" s="271"/>
      <c r="R393" s="15"/>
      <c r="S393" s="275"/>
      <c r="T393" s="15"/>
      <c r="U393" s="15"/>
      <c r="V393" s="15"/>
      <c r="W393" s="15"/>
      <c r="X393" s="15"/>
      <c r="Y393" s="15"/>
      <c r="Z393" s="16"/>
    </row>
    <row r="394" spans="1:26" ht="15.75" customHeight="1" x14ac:dyDescent="0.35">
      <c r="A394" s="15"/>
      <c r="B394" s="106"/>
      <c r="C394" s="170"/>
      <c r="D394" s="141"/>
      <c r="E394" s="80"/>
      <c r="F394" s="80"/>
      <c r="G394" s="106"/>
      <c r="H394" s="106"/>
      <c r="I394" s="189"/>
      <c r="J394" s="106"/>
      <c r="K394" s="106"/>
      <c r="L394" s="107"/>
      <c r="M394" s="107"/>
      <c r="N394" s="106"/>
      <c r="O394" s="106"/>
      <c r="Q394" s="271"/>
      <c r="R394" s="15"/>
      <c r="S394" s="275"/>
      <c r="T394" s="15"/>
      <c r="U394" s="15"/>
      <c r="V394" s="15"/>
      <c r="W394" s="15"/>
      <c r="X394" s="15"/>
      <c r="Y394" s="15"/>
      <c r="Z394" s="16"/>
    </row>
    <row r="395" spans="1:26" ht="15.75" customHeight="1" x14ac:dyDescent="0.35">
      <c r="A395" s="15"/>
      <c r="B395" s="106"/>
      <c r="C395" s="170"/>
      <c r="D395" s="141"/>
      <c r="E395" s="80"/>
      <c r="F395" s="80"/>
      <c r="G395" s="106"/>
      <c r="H395" s="106"/>
      <c r="I395" s="189"/>
      <c r="J395" s="106"/>
      <c r="K395" s="106"/>
      <c r="L395" s="107"/>
      <c r="M395" s="107"/>
      <c r="N395" s="106"/>
      <c r="O395" s="106"/>
      <c r="Q395" s="271"/>
      <c r="R395" s="15"/>
      <c r="S395" s="275"/>
      <c r="T395" s="15"/>
      <c r="U395" s="15"/>
      <c r="V395" s="15"/>
      <c r="W395" s="15"/>
      <c r="X395" s="15"/>
      <c r="Y395" s="15"/>
      <c r="Z395" s="16"/>
    </row>
    <row r="396" spans="1:26" ht="15.75" customHeight="1" x14ac:dyDescent="0.35">
      <c r="A396" s="15"/>
      <c r="B396" s="106"/>
      <c r="C396" s="170"/>
      <c r="D396" s="141"/>
      <c r="E396" s="80"/>
      <c r="F396" s="80"/>
      <c r="G396" s="106"/>
      <c r="H396" s="106"/>
      <c r="I396" s="189"/>
      <c r="J396" s="106"/>
      <c r="K396" s="106"/>
      <c r="L396" s="107"/>
      <c r="M396" s="107"/>
      <c r="N396" s="106"/>
      <c r="O396" s="106"/>
      <c r="Q396" s="271"/>
      <c r="R396" s="15"/>
      <c r="S396" s="275"/>
      <c r="T396" s="15"/>
      <c r="U396" s="15"/>
      <c r="V396" s="15"/>
      <c r="W396" s="15"/>
      <c r="X396" s="15"/>
      <c r="Y396" s="15"/>
      <c r="Z396" s="16"/>
    </row>
    <row r="397" spans="1:26" ht="15.75" customHeight="1" x14ac:dyDescent="0.35">
      <c r="A397" s="15"/>
      <c r="B397" s="106"/>
      <c r="C397" s="170"/>
      <c r="D397" s="141"/>
      <c r="E397" s="80"/>
      <c r="F397" s="80"/>
      <c r="G397" s="106"/>
      <c r="H397" s="106"/>
      <c r="I397" s="189"/>
      <c r="J397" s="106"/>
      <c r="K397" s="106"/>
      <c r="L397" s="107"/>
      <c r="M397" s="107"/>
      <c r="N397" s="106"/>
      <c r="O397" s="106"/>
      <c r="Q397" s="271"/>
      <c r="R397" s="15"/>
      <c r="S397" s="275"/>
      <c r="T397" s="15"/>
      <c r="U397" s="15"/>
      <c r="V397" s="15"/>
      <c r="W397" s="15"/>
      <c r="X397" s="15"/>
      <c r="Y397" s="15"/>
      <c r="Z397" s="16"/>
    </row>
    <row r="398" spans="1:26" ht="15.75" customHeight="1" x14ac:dyDescent="0.35">
      <c r="A398" s="15"/>
      <c r="B398" s="106"/>
      <c r="C398" s="170"/>
      <c r="D398" s="141"/>
      <c r="E398" s="80"/>
      <c r="F398" s="80"/>
      <c r="G398" s="106"/>
      <c r="H398" s="106"/>
      <c r="I398" s="189"/>
      <c r="J398" s="106"/>
      <c r="K398" s="106"/>
      <c r="L398" s="107"/>
      <c r="M398" s="107"/>
      <c r="N398" s="106"/>
      <c r="O398" s="106"/>
      <c r="Q398" s="271"/>
      <c r="R398" s="15"/>
      <c r="S398" s="275"/>
      <c r="T398" s="15"/>
      <c r="U398" s="15"/>
      <c r="V398" s="15"/>
      <c r="W398" s="15"/>
      <c r="X398" s="15"/>
      <c r="Y398" s="15"/>
      <c r="Z398" s="16"/>
    </row>
    <row r="399" spans="1:26" ht="15.75" customHeight="1" x14ac:dyDescent="0.35">
      <c r="A399" s="15"/>
      <c r="B399" s="106"/>
      <c r="C399" s="170"/>
      <c r="D399" s="141"/>
      <c r="E399" s="80"/>
      <c r="F399" s="80"/>
      <c r="G399" s="106"/>
      <c r="H399" s="106"/>
      <c r="I399" s="189"/>
      <c r="J399" s="106"/>
      <c r="K399" s="106"/>
      <c r="L399" s="107"/>
      <c r="M399" s="107"/>
      <c r="N399" s="106"/>
      <c r="O399" s="106"/>
      <c r="Q399" s="271"/>
      <c r="R399" s="15"/>
      <c r="S399" s="275"/>
      <c r="T399" s="15"/>
      <c r="U399" s="15"/>
      <c r="V399" s="15"/>
      <c r="W399" s="15"/>
      <c r="X399" s="15"/>
      <c r="Y399" s="15"/>
      <c r="Z399" s="16"/>
    </row>
    <row r="400" spans="1:26" ht="15.75" customHeight="1" x14ac:dyDescent="0.35">
      <c r="A400" s="15"/>
      <c r="B400" s="106"/>
      <c r="C400" s="170"/>
      <c r="D400" s="141"/>
      <c r="E400" s="80"/>
      <c r="F400" s="80"/>
      <c r="G400" s="106"/>
      <c r="H400" s="106"/>
      <c r="I400" s="189"/>
      <c r="J400" s="106"/>
      <c r="K400" s="106"/>
      <c r="L400" s="107"/>
      <c r="M400" s="107"/>
      <c r="N400" s="106"/>
      <c r="O400" s="106"/>
      <c r="Q400" s="271"/>
      <c r="R400" s="15"/>
      <c r="S400" s="275"/>
      <c r="T400" s="15"/>
      <c r="U400" s="15"/>
      <c r="V400" s="15"/>
      <c r="W400" s="15"/>
      <c r="X400" s="15"/>
      <c r="Y400" s="15"/>
      <c r="Z400" s="16"/>
    </row>
    <row r="401" spans="1:26" ht="15.75" customHeight="1" x14ac:dyDescent="0.35">
      <c r="A401" s="15"/>
      <c r="B401" s="106"/>
      <c r="C401" s="170"/>
      <c r="D401" s="141"/>
      <c r="E401" s="80"/>
      <c r="F401" s="80"/>
      <c r="G401" s="106"/>
      <c r="H401" s="106"/>
      <c r="I401" s="189"/>
      <c r="J401" s="106"/>
      <c r="K401" s="106"/>
      <c r="L401" s="107"/>
      <c r="M401" s="107"/>
      <c r="N401" s="106"/>
      <c r="O401" s="106"/>
      <c r="Q401" s="271"/>
      <c r="R401" s="15"/>
      <c r="S401" s="275"/>
      <c r="T401" s="15"/>
      <c r="U401" s="15"/>
      <c r="V401" s="15"/>
      <c r="W401" s="15"/>
      <c r="X401" s="15"/>
      <c r="Y401" s="15"/>
      <c r="Z401" s="16"/>
    </row>
    <row r="402" spans="1:26" ht="15.75" customHeight="1" x14ac:dyDescent="0.35">
      <c r="A402" s="15"/>
      <c r="B402" s="106"/>
      <c r="C402" s="170"/>
      <c r="D402" s="141"/>
      <c r="E402" s="80"/>
      <c r="F402" s="80"/>
      <c r="G402" s="106"/>
      <c r="H402" s="106"/>
      <c r="I402" s="189"/>
      <c r="J402" s="106"/>
      <c r="K402" s="106"/>
      <c r="L402" s="107"/>
      <c r="M402" s="107"/>
      <c r="N402" s="106"/>
      <c r="O402" s="106"/>
      <c r="Q402" s="271"/>
      <c r="R402" s="15"/>
      <c r="S402" s="275"/>
      <c r="T402" s="15"/>
      <c r="U402" s="15"/>
      <c r="V402" s="15"/>
      <c r="W402" s="15"/>
      <c r="X402" s="15"/>
      <c r="Y402" s="15"/>
      <c r="Z402" s="16"/>
    </row>
    <row r="403" spans="1:26" ht="15.75" customHeight="1" x14ac:dyDescent="0.35">
      <c r="A403" s="15"/>
      <c r="B403" s="106"/>
      <c r="C403" s="170"/>
      <c r="D403" s="141"/>
      <c r="E403" s="80"/>
      <c r="F403" s="80"/>
      <c r="G403" s="106"/>
      <c r="H403" s="106"/>
      <c r="I403" s="189"/>
      <c r="J403" s="106"/>
      <c r="K403" s="106"/>
      <c r="L403" s="107"/>
      <c r="M403" s="107"/>
      <c r="N403" s="106"/>
      <c r="O403" s="106"/>
      <c r="Q403" s="271"/>
      <c r="R403" s="15"/>
      <c r="S403" s="275"/>
      <c r="T403" s="15"/>
      <c r="U403" s="15"/>
      <c r="V403" s="15"/>
      <c r="W403" s="15"/>
      <c r="X403" s="15"/>
      <c r="Y403" s="15"/>
      <c r="Z403" s="16"/>
    </row>
    <row r="404" spans="1:26" ht="15.75" customHeight="1" x14ac:dyDescent="0.35">
      <c r="A404" s="15"/>
      <c r="B404" s="106"/>
      <c r="C404" s="170"/>
      <c r="D404" s="141"/>
      <c r="E404" s="80"/>
      <c r="F404" s="80"/>
      <c r="G404" s="106"/>
      <c r="H404" s="106"/>
      <c r="I404" s="189"/>
      <c r="J404" s="106"/>
      <c r="K404" s="106"/>
      <c r="L404" s="107"/>
      <c r="M404" s="107"/>
      <c r="N404" s="106"/>
      <c r="O404" s="106"/>
      <c r="Q404" s="271"/>
      <c r="R404" s="15"/>
      <c r="S404" s="275"/>
      <c r="T404" s="15"/>
      <c r="U404" s="15"/>
      <c r="V404" s="15"/>
      <c r="W404" s="15"/>
      <c r="X404" s="15"/>
      <c r="Y404" s="15"/>
      <c r="Z404" s="16"/>
    </row>
    <row r="405" spans="1:26" ht="15.75" customHeight="1" x14ac:dyDescent="0.35">
      <c r="A405" s="15"/>
      <c r="B405" s="106"/>
      <c r="C405" s="170"/>
      <c r="D405" s="141"/>
      <c r="E405" s="80"/>
      <c r="F405" s="80"/>
      <c r="G405" s="106"/>
      <c r="H405" s="106"/>
      <c r="I405" s="189"/>
      <c r="J405" s="106"/>
      <c r="K405" s="106"/>
      <c r="L405" s="107"/>
      <c r="M405" s="107"/>
      <c r="N405" s="106"/>
      <c r="O405" s="106"/>
      <c r="Q405" s="271"/>
      <c r="R405" s="15"/>
      <c r="S405" s="275"/>
      <c r="T405" s="15"/>
      <c r="U405" s="15"/>
      <c r="V405" s="15"/>
      <c r="W405" s="15"/>
      <c r="X405" s="15"/>
      <c r="Y405" s="15"/>
      <c r="Z405" s="16"/>
    </row>
    <row r="406" spans="1:26" ht="15.75" customHeight="1" x14ac:dyDescent="0.35">
      <c r="A406" s="15"/>
      <c r="B406" s="106"/>
      <c r="C406" s="170"/>
      <c r="D406" s="141"/>
      <c r="E406" s="80"/>
      <c r="F406" s="80"/>
      <c r="G406" s="106"/>
      <c r="H406" s="106"/>
      <c r="I406" s="189"/>
      <c r="J406" s="106"/>
      <c r="K406" s="106"/>
      <c r="L406" s="107"/>
      <c r="M406" s="107"/>
      <c r="N406" s="106"/>
      <c r="O406" s="106"/>
      <c r="Q406" s="271"/>
      <c r="R406" s="15"/>
      <c r="S406" s="275"/>
      <c r="T406" s="15"/>
      <c r="U406" s="15"/>
      <c r="V406" s="15"/>
      <c r="W406" s="15"/>
      <c r="X406" s="15"/>
      <c r="Y406" s="15"/>
      <c r="Z406" s="16"/>
    </row>
    <row r="407" spans="1:26" ht="15.75" customHeight="1" x14ac:dyDescent="0.35">
      <c r="A407" s="15"/>
      <c r="B407" s="106"/>
      <c r="C407" s="170"/>
      <c r="D407" s="141"/>
      <c r="E407" s="80"/>
      <c r="F407" s="80"/>
      <c r="G407" s="106"/>
      <c r="H407" s="106"/>
      <c r="I407" s="189"/>
      <c r="J407" s="106"/>
      <c r="K407" s="106"/>
      <c r="L407" s="107"/>
      <c r="M407" s="107"/>
      <c r="N407" s="106"/>
      <c r="O407" s="106"/>
      <c r="Q407" s="271"/>
      <c r="R407" s="15"/>
      <c r="S407" s="275"/>
      <c r="T407" s="15"/>
      <c r="U407" s="15"/>
      <c r="V407" s="15"/>
      <c r="W407" s="15"/>
      <c r="X407" s="15"/>
      <c r="Y407" s="15"/>
      <c r="Z407" s="16"/>
    </row>
    <row r="408" spans="1:26" ht="15.75" customHeight="1" x14ac:dyDescent="0.35">
      <c r="A408" s="15"/>
      <c r="B408" s="106"/>
      <c r="C408" s="170"/>
      <c r="D408" s="141"/>
      <c r="E408" s="80"/>
      <c r="F408" s="80"/>
      <c r="G408" s="106"/>
      <c r="H408" s="106"/>
      <c r="I408" s="189"/>
      <c r="J408" s="106"/>
      <c r="K408" s="106"/>
      <c r="L408" s="107"/>
      <c r="M408" s="107"/>
      <c r="N408" s="106"/>
      <c r="O408" s="106"/>
      <c r="Q408" s="271"/>
      <c r="R408" s="15"/>
      <c r="S408" s="275"/>
      <c r="T408" s="15"/>
      <c r="U408" s="15"/>
      <c r="V408" s="15"/>
      <c r="W408" s="15"/>
      <c r="X408" s="15"/>
      <c r="Y408" s="15"/>
      <c r="Z408" s="16"/>
    </row>
    <row r="409" spans="1:26" ht="15.75" customHeight="1" x14ac:dyDescent="0.35">
      <c r="A409" s="15"/>
      <c r="B409" s="106"/>
      <c r="C409" s="170"/>
      <c r="D409" s="141"/>
      <c r="E409" s="80"/>
      <c r="F409" s="80"/>
      <c r="G409" s="106"/>
      <c r="H409" s="106"/>
      <c r="I409" s="189"/>
      <c r="J409" s="106"/>
      <c r="K409" s="106"/>
      <c r="L409" s="107"/>
      <c r="M409" s="107"/>
      <c r="N409" s="106"/>
      <c r="O409" s="106"/>
      <c r="Q409" s="271"/>
      <c r="R409" s="15"/>
      <c r="S409" s="275"/>
      <c r="T409" s="15"/>
      <c r="U409" s="15"/>
      <c r="V409" s="15"/>
      <c r="W409" s="15"/>
      <c r="X409" s="15"/>
      <c r="Y409" s="15"/>
      <c r="Z409" s="16"/>
    </row>
    <row r="410" spans="1:26" ht="15.75" customHeight="1" x14ac:dyDescent="0.35">
      <c r="A410" s="15"/>
      <c r="B410" s="106"/>
      <c r="C410" s="170"/>
      <c r="D410" s="141"/>
      <c r="E410" s="80"/>
      <c r="F410" s="80"/>
      <c r="G410" s="106"/>
      <c r="H410" s="106"/>
      <c r="I410" s="189"/>
      <c r="J410" s="106"/>
      <c r="K410" s="106"/>
      <c r="L410" s="107"/>
      <c r="M410" s="107"/>
      <c r="N410" s="106"/>
      <c r="O410" s="106"/>
      <c r="Q410" s="271"/>
      <c r="R410" s="15"/>
      <c r="S410" s="275"/>
      <c r="T410" s="15"/>
      <c r="U410" s="15"/>
      <c r="V410" s="15"/>
      <c r="W410" s="15"/>
      <c r="X410" s="15"/>
      <c r="Y410" s="15"/>
      <c r="Z410" s="16"/>
    </row>
    <row r="411" spans="1:26" ht="15.75" customHeight="1" x14ac:dyDescent="0.35">
      <c r="A411" s="15"/>
      <c r="B411" s="106"/>
      <c r="C411" s="170"/>
      <c r="D411" s="141"/>
      <c r="E411" s="80"/>
      <c r="F411" s="80"/>
      <c r="G411" s="106"/>
      <c r="H411" s="106"/>
      <c r="I411" s="189"/>
      <c r="J411" s="106"/>
      <c r="K411" s="106"/>
      <c r="L411" s="107"/>
      <c r="M411" s="107"/>
      <c r="N411" s="106"/>
      <c r="O411" s="106"/>
      <c r="Q411" s="271"/>
      <c r="R411" s="15"/>
      <c r="S411" s="275"/>
      <c r="T411" s="15"/>
      <c r="U411" s="15"/>
      <c r="V411" s="15"/>
      <c r="W411" s="15"/>
      <c r="X411" s="15"/>
      <c r="Y411" s="15"/>
      <c r="Z411" s="16"/>
    </row>
    <row r="412" spans="1:26" ht="15.75" customHeight="1" x14ac:dyDescent="0.35">
      <c r="A412" s="15"/>
      <c r="B412" s="106"/>
      <c r="C412" s="170"/>
      <c r="D412" s="141"/>
      <c r="E412" s="80"/>
      <c r="F412" s="80"/>
      <c r="G412" s="106"/>
      <c r="H412" s="106"/>
      <c r="I412" s="189"/>
      <c r="J412" s="106"/>
      <c r="K412" s="106"/>
      <c r="L412" s="107"/>
      <c r="M412" s="107"/>
      <c r="N412" s="106"/>
      <c r="O412" s="106"/>
      <c r="Q412" s="271"/>
      <c r="R412" s="15"/>
      <c r="S412" s="275"/>
      <c r="T412" s="15"/>
      <c r="U412" s="15"/>
      <c r="V412" s="15"/>
      <c r="W412" s="15"/>
      <c r="X412" s="15"/>
      <c r="Y412" s="15"/>
      <c r="Z412" s="16"/>
    </row>
    <row r="413" spans="1:26" ht="15.75" customHeight="1" x14ac:dyDescent="0.35">
      <c r="A413" s="16"/>
      <c r="B413" s="108"/>
      <c r="C413" s="170"/>
      <c r="D413" s="141"/>
      <c r="E413" s="109"/>
      <c r="F413" s="109"/>
      <c r="G413" s="108"/>
      <c r="H413" s="108"/>
      <c r="I413" s="190"/>
      <c r="J413" s="108"/>
      <c r="K413" s="106"/>
      <c r="L413" s="107"/>
      <c r="M413" s="107"/>
      <c r="N413" s="106"/>
      <c r="O413" s="106"/>
      <c r="Q413" s="271"/>
      <c r="R413" s="16"/>
      <c r="S413" s="27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08"/>
      <c r="C414" s="170"/>
      <c r="D414" s="141"/>
      <c r="E414" s="109"/>
      <c r="F414" s="109"/>
      <c r="G414" s="108"/>
      <c r="H414" s="108"/>
      <c r="I414" s="190"/>
      <c r="J414" s="108"/>
      <c r="K414" s="106"/>
      <c r="L414" s="107"/>
      <c r="M414" s="107"/>
      <c r="N414" s="106"/>
      <c r="O414" s="106"/>
      <c r="Q414" s="271"/>
      <c r="R414" s="16"/>
      <c r="S414" s="27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08"/>
      <c r="C415" s="170"/>
      <c r="D415" s="141"/>
      <c r="E415" s="109"/>
      <c r="F415" s="109"/>
      <c r="G415" s="108"/>
      <c r="H415" s="108"/>
      <c r="I415" s="190"/>
      <c r="J415" s="108"/>
      <c r="K415" s="106"/>
      <c r="L415" s="107"/>
      <c r="M415" s="107"/>
      <c r="N415" s="106"/>
      <c r="O415" s="106"/>
      <c r="Q415" s="271"/>
      <c r="R415" s="16"/>
      <c r="S415" s="27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08"/>
      <c r="C416" s="170"/>
      <c r="D416" s="141"/>
      <c r="E416" s="109"/>
      <c r="F416" s="109"/>
      <c r="G416" s="108"/>
      <c r="H416" s="108"/>
      <c r="I416" s="190"/>
      <c r="J416" s="108"/>
      <c r="K416" s="106"/>
      <c r="L416" s="107"/>
      <c r="M416" s="107"/>
      <c r="N416" s="106"/>
      <c r="O416" s="106"/>
      <c r="Q416" s="271"/>
      <c r="R416" s="16"/>
      <c r="S416" s="27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08"/>
      <c r="C417" s="170"/>
      <c r="D417" s="141"/>
      <c r="E417" s="109"/>
      <c r="F417" s="109"/>
      <c r="G417" s="108"/>
      <c r="H417" s="108"/>
      <c r="I417" s="190"/>
      <c r="J417" s="108"/>
      <c r="K417" s="106"/>
      <c r="L417" s="107"/>
      <c r="M417" s="107"/>
      <c r="N417" s="106"/>
      <c r="O417" s="106"/>
      <c r="Q417" s="271"/>
      <c r="R417" s="16"/>
      <c r="S417" s="27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08"/>
      <c r="C418" s="170"/>
      <c r="D418" s="141"/>
      <c r="E418" s="109"/>
      <c r="F418" s="109"/>
      <c r="G418" s="108"/>
      <c r="H418" s="108"/>
      <c r="I418" s="190"/>
      <c r="J418" s="108"/>
      <c r="K418" s="106"/>
      <c r="L418" s="107"/>
      <c r="M418" s="107"/>
      <c r="N418" s="106"/>
      <c r="O418" s="106"/>
      <c r="Q418" s="271"/>
      <c r="R418" s="16"/>
      <c r="S418" s="27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08"/>
      <c r="C419" s="170"/>
      <c r="D419" s="141"/>
      <c r="E419" s="109"/>
      <c r="F419" s="109"/>
      <c r="G419" s="108"/>
      <c r="H419" s="108"/>
      <c r="I419" s="190"/>
      <c r="J419" s="108"/>
      <c r="K419" s="106"/>
      <c r="L419" s="107"/>
      <c r="M419" s="107"/>
      <c r="N419" s="106"/>
      <c r="O419" s="106"/>
      <c r="Q419" s="271"/>
      <c r="R419" s="16"/>
      <c r="S419" s="27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08"/>
      <c r="C420" s="170"/>
      <c r="D420" s="141"/>
      <c r="E420" s="109"/>
      <c r="F420" s="109"/>
      <c r="G420" s="108"/>
      <c r="H420" s="108"/>
      <c r="I420" s="190"/>
      <c r="J420" s="108"/>
      <c r="K420" s="106"/>
      <c r="L420" s="107"/>
      <c r="M420" s="107"/>
      <c r="N420" s="106"/>
      <c r="O420" s="106"/>
      <c r="Q420" s="271"/>
      <c r="R420" s="16"/>
      <c r="S420" s="27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08"/>
      <c r="C421" s="170"/>
      <c r="D421" s="141"/>
      <c r="E421" s="109"/>
      <c r="F421" s="109"/>
      <c r="G421" s="108"/>
      <c r="H421" s="108"/>
      <c r="I421" s="190"/>
      <c r="J421" s="108"/>
      <c r="K421" s="106"/>
      <c r="L421" s="107"/>
      <c r="M421" s="107"/>
      <c r="N421" s="106"/>
      <c r="O421" s="106"/>
      <c r="Q421" s="271"/>
      <c r="R421" s="16"/>
      <c r="S421" s="27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08"/>
      <c r="C422" s="170"/>
      <c r="D422" s="141"/>
      <c r="E422" s="109"/>
      <c r="F422" s="109"/>
      <c r="G422" s="108"/>
      <c r="H422" s="108"/>
      <c r="I422" s="190"/>
      <c r="J422" s="108"/>
      <c r="K422" s="106"/>
      <c r="L422" s="107"/>
      <c r="M422" s="107"/>
      <c r="N422" s="106"/>
      <c r="O422" s="106"/>
      <c r="Q422" s="271"/>
      <c r="R422" s="16"/>
      <c r="S422" s="27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08"/>
      <c r="C423" s="170"/>
      <c r="D423" s="141"/>
      <c r="E423" s="109"/>
      <c r="F423" s="109"/>
      <c r="G423" s="108"/>
      <c r="H423" s="108"/>
      <c r="I423" s="190"/>
      <c r="J423" s="108"/>
      <c r="K423" s="106"/>
      <c r="L423" s="107"/>
      <c r="M423" s="107"/>
      <c r="N423" s="106"/>
      <c r="O423" s="106"/>
      <c r="Q423" s="271"/>
      <c r="R423" s="16"/>
      <c r="S423" s="27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08"/>
      <c r="C424" s="170"/>
      <c r="D424" s="141"/>
      <c r="E424" s="109"/>
      <c r="F424" s="109"/>
      <c r="G424" s="108"/>
      <c r="H424" s="108"/>
      <c r="I424" s="190"/>
      <c r="J424" s="108"/>
      <c r="K424" s="106"/>
      <c r="L424" s="107"/>
      <c r="M424" s="107"/>
      <c r="N424" s="106"/>
      <c r="O424" s="106"/>
      <c r="Q424" s="271"/>
      <c r="R424" s="16"/>
      <c r="S424" s="27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08"/>
      <c r="C425" s="170"/>
      <c r="D425" s="141"/>
      <c r="E425" s="109"/>
      <c r="F425" s="109"/>
      <c r="G425" s="108"/>
      <c r="H425" s="108"/>
      <c r="I425" s="190"/>
      <c r="J425" s="108"/>
      <c r="K425" s="106"/>
      <c r="L425" s="107"/>
      <c r="M425" s="107"/>
      <c r="N425" s="106"/>
      <c r="O425" s="106"/>
      <c r="Q425" s="271"/>
      <c r="R425" s="16"/>
      <c r="S425" s="27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08"/>
      <c r="C426" s="170"/>
      <c r="D426" s="141"/>
      <c r="E426" s="109"/>
      <c r="F426" s="109"/>
      <c r="G426" s="108"/>
      <c r="H426" s="108"/>
      <c r="I426" s="190"/>
      <c r="J426" s="108"/>
      <c r="K426" s="106"/>
      <c r="L426" s="107"/>
      <c r="M426" s="107"/>
      <c r="N426" s="106"/>
      <c r="O426" s="106"/>
      <c r="Q426" s="271"/>
      <c r="R426" s="16"/>
      <c r="S426" s="27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08"/>
      <c r="C427" s="170"/>
      <c r="D427" s="141"/>
      <c r="E427" s="109"/>
      <c r="F427" s="109"/>
      <c r="G427" s="108"/>
      <c r="H427" s="108"/>
      <c r="I427" s="190"/>
      <c r="J427" s="108"/>
      <c r="K427" s="106"/>
      <c r="L427" s="107"/>
      <c r="M427" s="107"/>
      <c r="N427" s="106"/>
      <c r="O427" s="106"/>
      <c r="Q427" s="271"/>
      <c r="R427" s="16"/>
      <c r="S427" s="27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08"/>
      <c r="C428" s="170"/>
      <c r="D428" s="141"/>
      <c r="E428" s="109"/>
      <c r="F428" s="109"/>
      <c r="G428" s="108"/>
      <c r="H428" s="108"/>
      <c r="I428" s="190"/>
      <c r="J428" s="108"/>
      <c r="K428" s="106"/>
      <c r="L428" s="107"/>
      <c r="M428" s="107"/>
      <c r="N428" s="106"/>
      <c r="O428" s="106"/>
      <c r="Q428" s="271"/>
      <c r="R428" s="16"/>
      <c r="S428" s="27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08"/>
      <c r="C429" s="170"/>
      <c r="D429" s="141"/>
      <c r="E429" s="109"/>
      <c r="F429" s="109"/>
      <c r="G429" s="108"/>
      <c r="H429" s="108"/>
      <c r="I429" s="190"/>
      <c r="J429" s="108"/>
      <c r="K429" s="106"/>
      <c r="L429" s="107"/>
      <c r="M429" s="107"/>
      <c r="N429" s="106"/>
      <c r="O429" s="106"/>
      <c r="Q429" s="271"/>
      <c r="R429" s="16"/>
      <c r="S429" s="27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08"/>
      <c r="C430" s="170"/>
      <c r="D430" s="141"/>
      <c r="E430" s="109"/>
      <c r="F430" s="109"/>
      <c r="G430" s="108"/>
      <c r="H430" s="108"/>
      <c r="I430" s="190"/>
      <c r="J430" s="108"/>
      <c r="K430" s="106"/>
      <c r="L430" s="107"/>
      <c r="M430" s="107"/>
      <c r="N430" s="106"/>
      <c r="O430" s="106"/>
      <c r="Q430" s="271"/>
      <c r="R430" s="16"/>
      <c r="S430" s="27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08"/>
      <c r="C431" s="170"/>
      <c r="D431" s="141"/>
      <c r="E431" s="109"/>
      <c r="F431" s="109"/>
      <c r="G431" s="108"/>
      <c r="H431" s="108"/>
      <c r="I431" s="190"/>
      <c r="J431" s="108"/>
      <c r="K431" s="106"/>
      <c r="L431" s="107"/>
      <c r="M431" s="107"/>
      <c r="N431" s="106"/>
      <c r="O431" s="106"/>
      <c r="Q431" s="271"/>
      <c r="R431" s="16"/>
      <c r="S431" s="27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08"/>
      <c r="C432" s="170"/>
      <c r="D432" s="141"/>
      <c r="E432" s="109"/>
      <c r="F432" s="109"/>
      <c r="G432" s="108"/>
      <c r="H432" s="108"/>
      <c r="I432" s="190"/>
      <c r="J432" s="108"/>
      <c r="K432" s="106"/>
      <c r="L432" s="107"/>
      <c r="M432" s="107"/>
      <c r="N432" s="106"/>
      <c r="O432" s="106"/>
      <c r="Q432" s="271"/>
      <c r="R432" s="16"/>
      <c r="S432" s="27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08"/>
      <c r="C433" s="170"/>
      <c r="D433" s="141"/>
      <c r="E433" s="109"/>
      <c r="F433" s="109"/>
      <c r="G433" s="108"/>
      <c r="H433" s="108"/>
      <c r="I433" s="190"/>
      <c r="J433" s="108"/>
      <c r="K433" s="106"/>
      <c r="L433" s="107"/>
      <c r="M433" s="107"/>
      <c r="N433" s="106"/>
      <c r="O433" s="106"/>
      <c r="Q433" s="271"/>
      <c r="R433" s="16"/>
      <c r="S433" s="27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08"/>
      <c r="C434" s="170"/>
      <c r="D434" s="141"/>
      <c r="E434" s="109"/>
      <c r="F434" s="109"/>
      <c r="G434" s="108"/>
      <c r="H434" s="108"/>
      <c r="I434" s="190"/>
      <c r="J434" s="108"/>
      <c r="K434" s="106"/>
      <c r="L434" s="107"/>
      <c r="M434" s="107"/>
      <c r="N434" s="106"/>
      <c r="O434" s="106"/>
      <c r="Q434" s="271"/>
      <c r="R434" s="16"/>
      <c r="S434" s="27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08"/>
      <c r="C435" s="170"/>
      <c r="D435" s="141"/>
      <c r="E435" s="109"/>
      <c r="F435" s="109"/>
      <c r="G435" s="108"/>
      <c r="H435" s="108"/>
      <c r="I435" s="190"/>
      <c r="J435" s="108"/>
      <c r="K435" s="106"/>
      <c r="L435" s="107"/>
      <c r="M435" s="107"/>
      <c r="N435" s="106"/>
      <c r="O435" s="106"/>
      <c r="Q435" s="271"/>
      <c r="R435" s="16"/>
      <c r="S435" s="27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08"/>
      <c r="C436" s="170"/>
      <c r="D436" s="141"/>
      <c r="E436" s="109"/>
      <c r="F436" s="109"/>
      <c r="G436" s="108"/>
      <c r="H436" s="108"/>
      <c r="I436" s="190"/>
      <c r="J436" s="108"/>
      <c r="K436" s="106"/>
      <c r="L436" s="107"/>
      <c r="M436" s="107"/>
      <c r="N436" s="106"/>
      <c r="O436" s="106"/>
      <c r="Q436" s="271"/>
      <c r="R436" s="16"/>
      <c r="S436" s="27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08"/>
      <c r="C437" s="170"/>
      <c r="D437" s="141"/>
      <c r="E437" s="109"/>
      <c r="F437" s="109"/>
      <c r="G437" s="108"/>
      <c r="H437" s="108"/>
      <c r="I437" s="190"/>
      <c r="J437" s="108"/>
      <c r="K437" s="106"/>
      <c r="L437" s="107"/>
      <c r="M437" s="107"/>
      <c r="N437" s="106"/>
      <c r="O437" s="106"/>
      <c r="Q437" s="271"/>
      <c r="R437" s="16"/>
      <c r="S437" s="27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08"/>
      <c r="C438" s="170"/>
      <c r="D438" s="141"/>
      <c r="E438" s="109"/>
      <c r="F438" s="109"/>
      <c r="G438" s="108"/>
      <c r="H438" s="108"/>
      <c r="I438" s="190"/>
      <c r="J438" s="108"/>
      <c r="K438" s="106"/>
      <c r="L438" s="107"/>
      <c r="M438" s="107"/>
      <c r="N438" s="106"/>
      <c r="O438" s="106"/>
      <c r="Q438" s="271"/>
      <c r="R438" s="16"/>
      <c r="S438" s="27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08"/>
      <c r="C439" s="170"/>
      <c r="D439" s="141"/>
      <c r="E439" s="109"/>
      <c r="F439" s="109"/>
      <c r="G439" s="108"/>
      <c r="H439" s="108"/>
      <c r="I439" s="190"/>
      <c r="J439" s="108"/>
      <c r="K439" s="106"/>
      <c r="L439" s="107"/>
      <c r="M439" s="107"/>
      <c r="N439" s="106"/>
      <c r="O439" s="106"/>
      <c r="Q439" s="271"/>
      <c r="R439" s="16"/>
      <c r="S439" s="27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08"/>
      <c r="C440" s="170"/>
      <c r="D440" s="141"/>
      <c r="E440" s="109"/>
      <c r="F440" s="109"/>
      <c r="G440" s="108"/>
      <c r="H440" s="108"/>
      <c r="I440" s="190"/>
      <c r="J440" s="108"/>
      <c r="K440" s="106"/>
      <c r="L440" s="107"/>
      <c r="M440" s="107"/>
      <c r="N440" s="106"/>
      <c r="O440" s="106"/>
      <c r="Q440" s="271"/>
      <c r="R440" s="16"/>
      <c r="S440" s="27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08"/>
      <c r="C441" s="170"/>
      <c r="D441" s="141"/>
      <c r="E441" s="109"/>
      <c r="F441" s="109"/>
      <c r="G441" s="108"/>
      <c r="H441" s="108"/>
      <c r="I441" s="190"/>
      <c r="J441" s="108"/>
      <c r="K441" s="106"/>
      <c r="L441" s="107"/>
      <c r="M441" s="107"/>
      <c r="N441" s="106"/>
      <c r="O441" s="106"/>
      <c r="Q441" s="271"/>
      <c r="R441" s="16"/>
      <c r="S441" s="27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08"/>
      <c r="C442" s="170"/>
      <c r="D442" s="141"/>
      <c r="E442" s="109"/>
      <c r="F442" s="109"/>
      <c r="G442" s="108"/>
      <c r="H442" s="108"/>
      <c r="I442" s="190"/>
      <c r="J442" s="108"/>
      <c r="K442" s="106"/>
      <c r="L442" s="107"/>
      <c r="M442" s="107"/>
      <c r="N442" s="106"/>
      <c r="O442" s="106"/>
      <c r="Q442" s="271"/>
      <c r="R442" s="16"/>
      <c r="S442" s="27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08"/>
      <c r="C443" s="170"/>
      <c r="D443" s="141"/>
      <c r="E443" s="109"/>
      <c r="F443" s="109"/>
      <c r="G443" s="108"/>
      <c r="H443" s="108"/>
      <c r="I443" s="190"/>
      <c r="J443" s="108"/>
      <c r="K443" s="106"/>
      <c r="L443" s="107"/>
      <c r="M443" s="107"/>
      <c r="N443" s="106"/>
      <c r="O443" s="106"/>
      <c r="Q443" s="271"/>
      <c r="R443" s="16"/>
      <c r="S443" s="27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08"/>
      <c r="C444" s="170"/>
      <c r="D444" s="141"/>
      <c r="E444" s="109"/>
      <c r="F444" s="109"/>
      <c r="G444" s="108"/>
      <c r="H444" s="108"/>
      <c r="I444" s="190"/>
      <c r="J444" s="108"/>
      <c r="K444" s="106"/>
      <c r="L444" s="107"/>
      <c r="M444" s="107"/>
      <c r="N444" s="106"/>
      <c r="O444" s="106"/>
      <c r="Q444" s="271"/>
      <c r="R444" s="16"/>
      <c r="S444" s="27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08"/>
      <c r="C445" s="170"/>
      <c r="D445" s="141"/>
      <c r="E445" s="109"/>
      <c r="F445" s="109"/>
      <c r="G445" s="108"/>
      <c r="H445" s="108"/>
      <c r="I445" s="190"/>
      <c r="J445" s="108"/>
      <c r="K445" s="106"/>
      <c r="L445" s="107"/>
      <c r="M445" s="107"/>
      <c r="N445" s="106"/>
      <c r="O445" s="106"/>
      <c r="Q445" s="271"/>
      <c r="R445" s="16"/>
      <c r="S445" s="27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08"/>
      <c r="C446" s="170"/>
      <c r="D446" s="141"/>
      <c r="E446" s="109"/>
      <c r="F446" s="109"/>
      <c r="G446" s="108"/>
      <c r="H446" s="108"/>
      <c r="I446" s="190"/>
      <c r="J446" s="108"/>
      <c r="K446" s="106"/>
      <c r="L446" s="107"/>
      <c r="M446" s="107"/>
      <c r="N446" s="106"/>
      <c r="O446" s="106"/>
      <c r="Q446" s="271"/>
      <c r="R446" s="16"/>
      <c r="S446" s="27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08"/>
      <c r="C447" s="170"/>
      <c r="D447" s="141"/>
      <c r="E447" s="109"/>
      <c r="F447" s="109"/>
      <c r="G447" s="108"/>
      <c r="H447" s="108"/>
      <c r="I447" s="190"/>
      <c r="J447" s="108"/>
      <c r="K447" s="106"/>
      <c r="L447" s="107"/>
      <c r="M447" s="107"/>
      <c r="N447" s="106"/>
      <c r="O447" s="106"/>
      <c r="Q447" s="271"/>
      <c r="R447" s="16"/>
      <c r="S447" s="27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08"/>
      <c r="C448" s="170"/>
      <c r="D448" s="141"/>
      <c r="E448" s="109"/>
      <c r="F448" s="109"/>
      <c r="G448" s="108"/>
      <c r="H448" s="108"/>
      <c r="I448" s="190"/>
      <c r="J448" s="108"/>
      <c r="K448" s="106"/>
      <c r="L448" s="107"/>
      <c r="M448" s="107"/>
      <c r="N448" s="106"/>
      <c r="O448" s="106"/>
      <c r="Q448" s="271"/>
      <c r="R448" s="16"/>
      <c r="S448" s="27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08"/>
      <c r="C449" s="170"/>
      <c r="D449" s="141"/>
      <c r="E449" s="109"/>
      <c r="F449" s="109"/>
      <c r="G449" s="108"/>
      <c r="H449" s="108"/>
      <c r="I449" s="190"/>
      <c r="J449" s="108"/>
      <c r="K449" s="106"/>
      <c r="L449" s="107"/>
      <c r="M449" s="107"/>
      <c r="N449" s="106"/>
      <c r="O449" s="106"/>
      <c r="Q449" s="271"/>
      <c r="R449" s="16"/>
      <c r="S449" s="27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08"/>
      <c r="C450" s="170"/>
      <c r="D450" s="141"/>
      <c r="E450" s="109"/>
      <c r="F450" s="109"/>
      <c r="G450" s="108"/>
      <c r="H450" s="108"/>
      <c r="I450" s="190"/>
      <c r="J450" s="108"/>
      <c r="K450" s="106"/>
      <c r="L450" s="107"/>
      <c r="M450" s="107"/>
      <c r="N450" s="106"/>
      <c r="O450" s="106"/>
      <c r="Q450" s="271"/>
      <c r="R450" s="16"/>
      <c r="S450" s="27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08"/>
      <c r="C451" s="170"/>
      <c r="D451" s="141"/>
      <c r="E451" s="109"/>
      <c r="F451" s="109"/>
      <c r="G451" s="108"/>
      <c r="H451" s="108"/>
      <c r="I451" s="190"/>
      <c r="J451" s="108"/>
      <c r="K451" s="106"/>
      <c r="L451" s="107"/>
      <c r="M451" s="107"/>
      <c r="N451" s="106"/>
      <c r="O451" s="106"/>
      <c r="Q451" s="271"/>
      <c r="R451" s="16"/>
      <c r="S451" s="27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08"/>
      <c r="C452" s="170"/>
      <c r="D452" s="141"/>
      <c r="E452" s="109"/>
      <c r="F452" s="109"/>
      <c r="G452" s="108"/>
      <c r="H452" s="108"/>
      <c r="I452" s="190"/>
      <c r="J452" s="108"/>
      <c r="K452" s="106"/>
      <c r="L452" s="107"/>
      <c r="M452" s="107"/>
      <c r="N452" s="106"/>
      <c r="O452" s="106"/>
      <c r="Q452" s="271"/>
      <c r="R452" s="16"/>
      <c r="S452" s="27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08"/>
      <c r="C453" s="170"/>
      <c r="D453" s="141"/>
      <c r="E453" s="109"/>
      <c r="F453" s="109"/>
      <c r="G453" s="108"/>
      <c r="H453" s="108"/>
      <c r="I453" s="190"/>
      <c r="J453" s="108"/>
      <c r="K453" s="106"/>
      <c r="L453" s="107"/>
      <c r="M453" s="107"/>
      <c r="N453" s="106"/>
      <c r="O453" s="106"/>
      <c r="Q453" s="271"/>
      <c r="R453" s="16"/>
      <c r="S453" s="27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08"/>
      <c r="C454" s="170"/>
      <c r="D454" s="141"/>
      <c r="E454" s="109"/>
      <c r="F454" s="109"/>
      <c r="G454" s="108"/>
      <c r="H454" s="108"/>
      <c r="I454" s="190"/>
      <c r="J454" s="108"/>
      <c r="K454" s="106"/>
      <c r="L454" s="107"/>
      <c r="M454" s="107"/>
      <c r="N454" s="106"/>
      <c r="O454" s="106"/>
      <c r="Q454" s="271"/>
      <c r="R454" s="16"/>
      <c r="S454" s="27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08"/>
      <c r="C455" s="170"/>
      <c r="D455" s="141"/>
      <c r="E455" s="109"/>
      <c r="F455" s="109"/>
      <c r="G455" s="108"/>
      <c r="H455" s="108"/>
      <c r="I455" s="190"/>
      <c r="J455" s="108"/>
      <c r="K455" s="106"/>
      <c r="L455" s="107"/>
      <c r="M455" s="107"/>
      <c r="N455" s="106"/>
      <c r="O455" s="106"/>
      <c r="Q455" s="271"/>
      <c r="R455" s="16"/>
      <c r="S455" s="27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08"/>
      <c r="C456" s="170"/>
      <c r="D456" s="141"/>
      <c r="E456" s="109"/>
      <c r="F456" s="109"/>
      <c r="G456" s="108"/>
      <c r="H456" s="108"/>
      <c r="I456" s="190"/>
      <c r="J456" s="108"/>
      <c r="K456" s="106"/>
      <c r="L456" s="107"/>
      <c r="M456" s="107"/>
      <c r="N456" s="106"/>
      <c r="O456" s="106"/>
      <c r="Q456" s="271"/>
      <c r="R456" s="16"/>
      <c r="S456" s="27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08"/>
      <c r="C457" s="170"/>
      <c r="D457" s="141"/>
      <c r="E457" s="109"/>
      <c r="F457" s="109"/>
      <c r="G457" s="108"/>
      <c r="H457" s="108"/>
      <c r="I457" s="190"/>
      <c r="J457" s="108"/>
      <c r="K457" s="106"/>
      <c r="L457" s="107"/>
      <c r="M457" s="107"/>
      <c r="N457" s="106"/>
      <c r="O457" s="106"/>
      <c r="Q457" s="271"/>
      <c r="R457" s="16"/>
      <c r="S457" s="27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08"/>
      <c r="C458" s="170"/>
      <c r="D458" s="141"/>
      <c r="E458" s="109"/>
      <c r="F458" s="109"/>
      <c r="G458" s="108"/>
      <c r="H458" s="108"/>
      <c r="I458" s="190"/>
      <c r="J458" s="108"/>
      <c r="K458" s="106"/>
      <c r="L458" s="107"/>
      <c r="M458" s="107"/>
      <c r="N458" s="106"/>
      <c r="O458" s="106"/>
      <c r="Q458" s="271"/>
      <c r="R458" s="16"/>
      <c r="S458" s="27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08"/>
      <c r="C459" s="170"/>
      <c r="D459" s="141"/>
      <c r="E459" s="109"/>
      <c r="F459" s="109"/>
      <c r="G459" s="108"/>
      <c r="H459" s="108"/>
      <c r="I459" s="190"/>
      <c r="J459" s="108"/>
      <c r="K459" s="106"/>
      <c r="L459" s="107"/>
      <c r="M459" s="107"/>
      <c r="N459" s="106"/>
      <c r="O459" s="106"/>
      <c r="Q459" s="271"/>
      <c r="R459" s="16"/>
      <c r="S459" s="27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08"/>
      <c r="C460" s="170"/>
      <c r="D460" s="141"/>
      <c r="E460" s="109"/>
      <c r="F460" s="109"/>
      <c r="G460" s="108"/>
      <c r="H460" s="108"/>
      <c r="I460" s="190"/>
      <c r="J460" s="108"/>
      <c r="K460" s="106"/>
      <c r="L460" s="107"/>
      <c r="M460" s="107"/>
      <c r="N460" s="106"/>
      <c r="O460" s="106"/>
      <c r="Q460" s="271"/>
      <c r="R460" s="16"/>
      <c r="S460" s="27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08"/>
      <c r="C461" s="170"/>
      <c r="D461" s="141"/>
      <c r="E461" s="109"/>
      <c r="F461" s="109"/>
      <c r="G461" s="108"/>
      <c r="H461" s="108"/>
      <c r="I461" s="190"/>
      <c r="J461" s="108"/>
      <c r="K461" s="106"/>
      <c r="L461" s="107"/>
      <c r="M461" s="107"/>
      <c r="N461" s="106"/>
      <c r="O461" s="106"/>
      <c r="Q461" s="271"/>
      <c r="R461" s="16"/>
      <c r="S461" s="27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08"/>
      <c r="C462" s="170"/>
      <c r="D462" s="141"/>
      <c r="E462" s="109"/>
      <c r="F462" s="109"/>
      <c r="G462" s="108"/>
      <c r="H462" s="108"/>
      <c r="I462" s="190"/>
      <c r="J462" s="108"/>
      <c r="K462" s="106"/>
      <c r="L462" s="107"/>
      <c r="M462" s="107"/>
      <c r="N462" s="106"/>
      <c r="O462" s="106"/>
      <c r="Q462" s="271"/>
      <c r="R462" s="16"/>
      <c r="S462" s="27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08"/>
      <c r="C463" s="170"/>
      <c r="D463" s="141"/>
      <c r="E463" s="109"/>
      <c r="F463" s="109"/>
      <c r="G463" s="108"/>
      <c r="H463" s="108"/>
      <c r="I463" s="190"/>
      <c r="J463" s="108"/>
      <c r="K463" s="106"/>
      <c r="L463" s="107"/>
      <c r="M463" s="107"/>
      <c r="N463" s="106"/>
      <c r="O463" s="106"/>
      <c r="Q463" s="271"/>
      <c r="R463" s="16"/>
      <c r="S463" s="27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08"/>
      <c r="C464" s="170"/>
      <c r="D464" s="141"/>
      <c r="E464" s="109"/>
      <c r="F464" s="109"/>
      <c r="G464" s="108"/>
      <c r="H464" s="108"/>
      <c r="I464" s="190"/>
      <c r="J464" s="108"/>
      <c r="K464" s="106"/>
      <c r="L464" s="107"/>
      <c r="M464" s="107"/>
      <c r="N464" s="106"/>
      <c r="O464" s="106"/>
      <c r="Q464" s="271"/>
      <c r="R464" s="16"/>
      <c r="S464" s="27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08"/>
      <c r="C465" s="170"/>
      <c r="D465" s="141"/>
      <c r="E465" s="109"/>
      <c r="F465" s="109"/>
      <c r="G465" s="108"/>
      <c r="H465" s="108"/>
      <c r="I465" s="190"/>
      <c r="J465" s="108"/>
      <c r="K465" s="106"/>
      <c r="L465" s="107"/>
      <c r="M465" s="107"/>
      <c r="N465" s="106"/>
      <c r="O465" s="106"/>
      <c r="Q465" s="271"/>
      <c r="R465" s="16"/>
      <c r="S465" s="27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08"/>
      <c r="C466" s="170"/>
      <c r="D466" s="141"/>
      <c r="E466" s="109"/>
      <c r="F466" s="109"/>
      <c r="G466" s="108"/>
      <c r="H466" s="108"/>
      <c r="I466" s="190"/>
      <c r="J466" s="108"/>
      <c r="K466" s="106"/>
      <c r="L466" s="107"/>
      <c r="M466" s="107"/>
      <c r="N466" s="106"/>
      <c r="O466" s="106"/>
      <c r="Q466" s="271"/>
      <c r="R466" s="16"/>
      <c r="S466" s="27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08"/>
      <c r="C467" s="170"/>
      <c r="D467" s="141"/>
      <c r="E467" s="109"/>
      <c r="F467" s="109"/>
      <c r="G467" s="108"/>
      <c r="H467" s="108"/>
      <c r="I467" s="190"/>
      <c r="J467" s="108"/>
      <c r="K467" s="106"/>
      <c r="L467" s="107"/>
      <c r="M467" s="107"/>
      <c r="N467" s="106"/>
      <c r="O467" s="106"/>
      <c r="Q467" s="271"/>
      <c r="R467" s="16"/>
      <c r="S467" s="27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08"/>
      <c r="C468" s="170"/>
      <c r="D468" s="141"/>
      <c r="E468" s="109"/>
      <c r="F468" s="109"/>
      <c r="G468" s="108"/>
      <c r="H468" s="108"/>
      <c r="I468" s="190"/>
      <c r="J468" s="108"/>
      <c r="K468" s="106"/>
      <c r="L468" s="107"/>
      <c r="M468" s="107"/>
      <c r="N468" s="106"/>
      <c r="O468" s="106"/>
      <c r="Q468" s="271"/>
      <c r="R468" s="16"/>
      <c r="S468" s="27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08"/>
      <c r="C469" s="170"/>
      <c r="D469" s="141"/>
      <c r="E469" s="109"/>
      <c r="F469" s="109"/>
      <c r="G469" s="108"/>
      <c r="H469" s="108"/>
      <c r="I469" s="190"/>
      <c r="J469" s="108"/>
      <c r="K469" s="106"/>
      <c r="L469" s="107"/>
      <c r="M469" s="107"/>
      <c r="N469" s="106"/>
      <c r="O469" s="106"/>
      <c r="Q469" s="271"/>
      <c r="R469" s="16"/>
      <c r="S469" s="27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08"/>
      <c r="C470" s="170"/>
      <c r="D470" s="141"/>
      <c r="E470" s="109"/>
      <c r="F470" s="109"/>
      <c r="G470" s="108"/>
      <c r="H470" s="108"/>
      <c r="I470" s="190"/>
      <c r="J470" s="108"/>
      <c r="K470" s="106"/>
      <c r="L470" s="107"/>
      <c r="M470" s="107"/>
      <c r="N470" s="106"/>
      <c r="O470" s="106"/>
      <c r="Q470" s="271"/>
      <c r="R470" s="16"/>
      <c r="S470" s="27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08"/>
      <c r="C471" s="170"/>
      <c r="D471" s="141"/>
      <c r="E471" s="109"/>
      <c r="F471" s="109"/>
      <c r="G471" s="108"/>
      <c r="H471" s="108"/>
      <c r="I471" s="190"/>
      <c r="J471" s="108"/>
      <c r="K471" s="106"/>
      <c r="L471" s="107"/>
      <c r="M471" s="107"/>
      <c r="N471" s="106"/>
      <c r="O471" s="106"/>
      <c r="Q471" s="271"/>
      <c r="R471" s="16"/>
      <c r="S471" s="27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08"/>
      <c r="C472" s="170"/>
      <c r="D472" s="141"/>
      <c r="E472" s="109"/>
      <c r="F472" s="109"/>
      <c r="G472" s="108"/>
      <c r="H472" s="108"/>
      <c r="I472" s="190"/>
      <c r="J472" s="108"/>
      <c r="K472" s="106"/>
      <c r="L472" s="107"/>
      <c r="M472" s="107"/>
      <c r="N472" s="106"/>
      <c r="O472" s="106"/>
      <c r="Q472" s="271"/>
      <c r="R472" s="16"/>
      <c r="S472" s="27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08"/>
      <c r="C473" s="170"/>
      <c r="D473" s="141"/>
      <c r="E473" s="109"/>
      <c r="F473" s="109"/>
      <c r="G473" s="108"/>
      <c r="H473" s="108"/>
      <c r="I473" s="190"/>
      <c r="J473" s="108"/>
      <c r="K473" s="106"/>
      <c r="L473" s="107"/>
      <c r="M473" s="107"/>
      <c r="N473" s="106"/>
      <c r="O473" s="106"/>
      <c r="Q473" s="271"/>
      <c r="R473" s="16"/>
      <c r="S473" s="27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08"/>
      <c r="C474" s="170"/>
      <c r="D474" s="141"/>
      <c r="E474" s="109"/>
      <c r="F474" s="109"/>
      <c r="G474" s="108"/>
      <c r="H474" s="108"/>
      <c r="I474" s="190"/>
      <c r="J474" s="108"/>
      <c r="K474" s="106"/>
      <c r="L474" s="107"/>
      <c r="M474" s="107"/>
      <c r="N474" s="106"/>
      <c r="O474" s="106"/>
      <c r="Q474" s="271"/>
      <c r="R474" s="16"/>
      <c r="S474" s="27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08"/>
      <c r="C475" s="170"/>
      <c r="D475" s="141"/>
      <c r="E475" s="109"/>
      <c r="F475" s="109"/>
      <c r="G475" s="108"/>
      <c r="H475" s="108"/>
      <c r="I475" s="190"/>
      <c r="J475" s="108"/>
      <c r="K475" s="106"/>
      <c r="L475" s="107"/>
      <c r="M475" s="107"/>
      <c r="N475" s="106"/>
      <c r="O475" s="106"/>
      <c r="Q475" s="271"/>
      <c r="R475" s="16"/>
      <c r="S475" s="27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08"/>
      <c r="C476" s="170"/>
      <c r="D476" s="141"/>
      <c r="E476" s="109"/>
      <c r="F476" s="109"/>
      <c r="G476" s="108"/>
      <c r="H476" s="108"/>
      <c r="I476" s="190"/>
      <c r="J476" s="108"/>
      <c r="K476" s="106"/>
      <c r="L476" s="107"/>
      <c r="M476" s="107"/>
      <c r="N476" s="106"/>
      <c r="O476" s="106"/>
      <c r="Q476" s="271"/>
      <c r="R476" s="16"/>
      <c r="S476" s="27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08"/>
      <c r="C477" s="170"/>
      <c r="D477" s="141"/>
      <c r="E477" s="109"/>
      <c r="F477" s="109"/>
      <c r="G477" s="108"/>
      <c r="H477" s="108"/>
      <c r="I477" s="190"/>
      <c r="J477" s="108"/>
      <c r="K477" s="106"/>
      <c r="L477" s="107"/>
      <c r="M477" s="107"/>
      <c r="N477" s="106"/>
      <c r="O477" s="106"/>
      <c r="Q477" s="271"/>
      <c r="R477" s="16"/>
      <c r="S477" s="27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08"/>
      <c r="C478" s="170"/>
      <c r="D478" s="141"/>
      <c r="E478" s="109"/>
      <c r="F478" s="109"/>
      <c r="G478" s="108"/>
      <c r="H478" s="108"/>
      <c r="I478" s="190"/>
      <c r="J478" s="108"/>
      <c r="K478" s="106"/>
      <c r="L478" s="107"/>
      <c r="M478" s="107"/>
      <c r="N478" s="106"/>
      <c r="O478" s="106"/>
      <c r="Q478" s="271"/>
      <c r="R478" s="16"/>
      <c r="S478" s="27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08"/>
      <c r="C479" s="170"/>
      <c r="D479" s="141"/>
      <c r="E479" s="109"/>
      <c r="F479" s="109"/>
      <c r="G479" s="108"/>
      <c r="H479" s="108"/>
      <c r="I479" s="190"/>
      <c r="J479" s="108"/>
      <c r="K479" s="106"/>
      <c r="L479" s="107"/>
      <c r="M479" s="107"/>
      <c r="N479" s="106"/>
      <c r="O479" s="106"/>
      <c r="Q479" s="271"/>
      <c r="R479" s="16"/>
      <c r="S479" s="27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08"/>
      <c r="C480" s="170"/>
      <c r="D480" s="141"/>
      <c r="E480" s="109"/>
      <c r="F480" s="109"/>
      <c r="G480" s="108"/>
      <c r="H480" s="108"/>
      <c r="I480" s="190"/>
      <c r="J480" s="108"/>
      <c r="K480" s="106"/>
      <c r="L480" s="107"/>
      <c r="M480" s="107"/>
      <c r="N480" s="106"/>
      <c r="O480" s="106"/>
      <c r="Q480" s="271"/>
      <c r="R480" s="16"/>
      <c r="S480" s="27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08"/>
      <c r="C481" s="170"/>
      <c r="D481" s="141"/>
      <c r="E481" s="109"/>
      <c r="F481" s="109"/>
      <c r="G481" s="108"/>
      <c r="H481" s="108"/>
      <c r="I481" s="190"/>
      <c r="J481" s="108"/>
      <c r="K481" s="106"/>
      <c r="L481" s="107"/>
      <c r="M481" s="107"/>
      <c r="N481" s="106"/>
      <c r="O481" s="106"/>
      <c r="Q481" s="271"/>
      <c r="R481" s="16"/>
      <c r="S481" s="27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08"/>
      <c r="C482" s="170"/>
      <c r="D482" s="141"/>
      <c r="E482" s="109"/>
      <c r="F482" s="109"/>
      <c r="G482" s="108"/>
      <c r="H482" s="108"/>
      <c r="I482" s="190"/>
      <c r="J482" s="108"/>
      <c r="K482" s="106"/>
      <c r="L482" s="107"/>
      <c r="M482" s="107"/>
      <c r="N482" s="106"/>
      <c r="O482" s="106"/>
      <c r="Q482" s="271"/>
      <c r="R482" s="16"/>
      <c r="S482" s="27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08"/>
      <c r="C483" s="170"/>
      <c r="D483" s="141"/>
      <c r="E483" s="109"/>
      <c r="F483" s="109"/>
      <c r="G483" s="108"/>
      <c r="H483" s="108"/>
      <c r="I483" s="190"/>
      <c r="J483" s="108"/>
      <c r="K483" s="106"/>
      <c r="L483" s="107"/>
      <c r="M483" s="107"/>
      <c r="N483" s="106"/>
      <c r="O483" s="106"/>
      <c r="Q483" s="271"/>
      <c r="R483" s="16"/>
      <c r="S483" s="27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08"/>
      <c r="C484" s="170"/>
      <c r="D484" s="141"/>
      <c r="E484" s="109"/>
      <c r="F484" s="109"/>
      <c r="G484" s="108"/>
      <c r="H484" s="108"/>
      <c r="I484" s="190"/>
      <c r="J484" s="108"/>
      <c r="K484" s="106"/>
      <c r="L484" s="107"/>
      <c r="M484" s="107"/>
      <c r="N484" s="106"/>
      <c r="O484" s="106"/>
      <c r="Q484" s="271"/>
      <c r="R484" s="16"/>
      <c r="S484" s="27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08"/>
      <c r="C485" s="170"/>
      <c r="D485" s="141"/>
      <c r="E485" s="109"/>
      <c r="F485" s="109"/>
      <c r="G485" s="108"/>
      <c r="H485" s="108"/>
      <c r="I485" s="190"/>
      <c r="J485" s="108"/>
      <c r="K485" s="106"/>
      <c r="L485" s="107"/>
      <c r="M485" s="107"/>
      <c r="N485" s="106"/>
      <c r="O485" s="106"/>
      <c r="Q485" s="271"/>
      <c r="R485" s="16"/>
      <c r="S485" s="27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08"/>
      <c r="C486" s="170"/>
      <c r="D486" s="141"/>
      <c r="E486" s="109"/>
      <c r="F486" s="109"/>
      <c r="G486" s="108"/>
      <c r="H486" s="108"/>
      <c r="I486" s="190"/>
      <c r="J486" s="108"/>
      <c r="K486" s="106"/>
      <c r="L486" s="107"/>
      <c r="M486" s="107"/>
      <c r="N486" s="106"/>
      <c r="O486" s="106"/>
      <c r="Q486" s="271"/>
      <c r="R486" s="16"/>
      <c r="S486" s="27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08"/>
      <c r="C487" s="170"/>
      <c r="D487" s="141"/>
      <c r="E487" s="109"/>
      <c r="F487" s="109"/>
      <c r="G487" s="108"/>
      <c r="H487" s="108"/>
      <c r="I487" s="190"/>
      <c r="J487" s="108"/>
      <c r="K487" s="106"/>
      <c r="L487" s="107"/>
      <c r="M487" s="107"/>
      <c r="N487" s="106"/>
      <c r="O487" s="106"/>
      <c r="Q487" s="271"/>
      <c r="R487" s="16"/>
      <c r="S487" s="27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08"/>
      <c r="C488" s="170"/>
      <c r="D488" s="141"/>
      <c r="E488" s="109"/>
      <c r="F488" s="109"/>
      <c r="G488" s="108"/>
      <c r="H488" s="108"/>
      <c r="I488" s="190"/>
      <c r="J488" s="108"/>
      <c r="K488" s="106"/>
      <c r="L488" s="107"/>
      <c r="M488" s="107"/>
      <c r="N488" s="106"/>
      <c r="O488" s="106"/>
      <c r="Q488" s="271"/>
      <c r="R488" s="16"/>
      <c r="S488" s="27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08"/>
      <c r="C489" s="170"/>
      <c r="D489" s="141"/>
      <c r="E489" s="109"/>
      <c r="F489" s="109"/>
      <c r="G489" s="108"/>
      <c r="H489" s="108"/>
      <c r="I489" s="190"/>
      <c r="J489" s="108"/>
      <c r="K489" s="106"/>
      <c r="L489" s="107"/>
      <c r="M489" s="107"/>
      <c r="N489" s="106"/>
      <c r="O489" s="106"/>
      <c r="Q489" s="271"/>
      <c r="R489" s="16"/>
      <c r="S489" s="27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08"/>
      <c r="C490" s="170"/>
      <c r="D490" s="141"/>
      <c r="E490" s="109"/>
      <c r="F490" s="109"/>
      <c r="G490" s="108"/>
      <c r="H490" s="108"/>
      <c r="I490" s="190"/>
      <c r="J490" s="108"/>
      <c r="K490" s="106"/>
      <c r="L490" s="107"/>
      <c r="M490" s="107"/>
      <c r="N490" s="106"/>
      <c r="O490" s="106"/>
      <c r="Q490" s="271"/>
      <c r="R490" s="16"/>
      <c r="S490" s="27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08"/>
      <c r="C491" s="170"/>
      <c r="D491" s="141"/>
      <c r="E491" s="109"/>
      <c r="F491" s="109"/>
      <c r="G491" s="108"/>
      <c r="H491" s="108"/>
      <c r="I491" s="190"/>
      <c r="J491" s="108"/>
      <c r="K491" s="106"/>
      <c r="L491" s="107"/>
      <c r="M491" s="107"/>
      <c r="N491" s="106"/>
      <c r="O491" s="106"/>
      <c r="Q491" s="271"/>
      <c r="R491" s="16"/>
      <c r="S491" s="27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08"/>
      <c r="C492" s="170"/>
      <c r="D492" s="141"/>
      <c r="E492" s="109"/>
      <c r="F492" s="109"/>
      <c r="G492" s="108"/>
      <c r="H492" s="108"/>
      <c r="I492" s="190"/>
      <c r="J492" s="108"/>
      <c r="K492" s="106"/>
      <c r="L492" s="107"/>
      <c r="M492" s="107"/>
      <c r="N492" s="106"/>
      <c r="O492" s="106"/>
      <c r="Q492" s="271"/>
      <c r="R492" s="16"/>
      <c r="S492" s="27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08"/>
      <c r="C493" s="170"/>
      <c r="D493" s="141"/>
      <c r="E493" s="109"/>
      <c r="F493" s="109"/>
      <c r="G493" s="108"/>
      <c r="H493" s="108"/>
      <c r="I493" s="190"/>
      <c r="J493" s="108"/>
      <c r="K493" s="106"/>
      <c r="L493" s="107"/>
      <c r="M493" s="107"/>
      <c r="N493" s="106"/>
      <c r="O493" s="106"/>
      <c r="Q493" s="271"/>
      <c r="R493" s="16"/>
      <c r="S493" s="27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08"/>
      <c r="C494" s="170"/>
      <c r="D494" s="141"/>
      <c r="E494" s="109"/>
      <c r="F494" s="109"/>
      <c r="G494" s="108"/>
      <c r="H494" s="108"/>
      <c r="I494" s="190"/>
      <c r="J494" s="108"/>
      <c r="K494" s="106"/>
      <c r="L494" s="107"/>
      <c r="M494" s="107"/>
      <c r="N494" s="106"/>
      <c r="O494" s="106"/>
      <c r="Q494" s="271"/>
      <c r="R494" s="16"/>
      <c r="S494" s="27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08"/>
      <c r="C495" s="170"/>
      <c r="D495" s="141"/>
      <c r="E495" s="109"/>
      <c r="F495" s="109"/>
      <c r="G495" s="108"/>
      <c r="H495" s="108"/>
      <c r="I495" s="190"/>
      <c r="J495" s="108"/>
      <c r="K495" s="106"/>
      <c r="L495" s="107"/>
      <c r="M495" s="107"/>
      <c r="N495" s="106"/>
      <c r="O495" s="106"/>
      <c r="Q495" s="271"/>
      <c r="R495" s="16"/>
      <c r="S495" s="27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08"/>
      <c r="C496" s="170"/>
      <c r="D496" s="141"/>
      <c r="E496" s="109"/>
      <c r="F496" s="109"/>
      <c r="G496" s="108"/>
      <c r="H496" s="108"/>
      <c r="I496" s="190"/>
      <c r="J496" s="108"/>
      <c r="K496" s="106"/>
      <c r="L496" s="107"/>
      <c r="M496" s="107"/>
      <c r="N496" s="106"/>
      <c r="O496" s="106"/>
      <c r="Q496" s="271"/>
      <c r="R496" s="16"/>
      <c r="S496" s="27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08"/>
      <c r="C497" s="170"/>
      <c r="D497" s="141"/>
      <c r="E497" s="109"/>
      <c r="F497" s="109"/>
      <c r="G497" s="108"/>
      <c r="H497" s="108"/>
      <c r="I497" s="190"/>
      <c r="J497" s="108"/>
      <c r="K497" s="106"/>
      <c r="L497" s="107"/>
      <c r="M497" s="107"/>
      <c r="N497" s="106"/>
      <c r="O497" s="106"/>
      <c r="Q497" s="271"/>
      <c r="R497" s="16"/>
      <c r="S497" s="27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08"/>
      <c r="C498" s="170"/>
      <c r="D498" s="141"/>
      <c r="E498" s="109"/>
      <c r="F498" s="109"/>
      <c r="G498" s="108"/>
      <c r="H498" s="108"/>
      <c r="I498" s="190"/>
      <c r="J498" s="108"/>
      <c r="K498" s="106"/>
      <c r="L498" s="107"/>
      <c r="M498" s="107"/>
      <c r="N498" s="106"/>
      <c r="O498" s="106"/>
      <c r="Q498" s="271"/>
      <c r="R498" s="16"/>
      <c r="S498" s="27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08"/>
      <c r="C499" s="170"/>
      <c r="D499" s="141"/>
      <c r="E499" s="109"/>
      <c r="F499" s="109"/>
      <c r="G499" s="108"/>
      <c r="H499" s="108"/>
      <c r="I499" s="190"/>
      <c r="J499" s="108"/>
      <c r="K499" s="106"/>
      <c r="L499" s="107"/>
      <c r="M499" s="107"/>
      <c r="N499" s="106"/>
      <c r="O499" s="106"/>
      <c r="Q499" s="271"/>
      <c r="R499" s="16"/>
      <c r="S499" s="27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08"/>
      <c r="C500" s="170"/>
      <c r="D500" s="141"/>
      <c r="E500" s="109"/>
      <c r="F500" s="109"/>
      <c r="G500" s="108"/>
      <c r="H500" s="108"/>
      <c r="I500" s="190"/>
      <c r="J500" s="108"/>
      <c r="K500" s="106"/>
      <c r="L500" s="107"/>
      <c r="M500" s="107"/>
      <c r="N500" s="106"/>
      <c r="O500" s="106"/>
      <c r="Q500" s="271"/>
      <c r="R500" s="16"/>
      <c r="S500" s="27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08"/>
      <c r="C501" s="170"/>
      <c r="D501" s="141"/>
      <c r="E501" s="109"/>
      <c r="F501" s="109"/>
      <c r="G501" s="108"/>
      <c r="H501" s="108"/>
      <c r="I501" s="190"/>
      <c r="J501" s="108"/>
      <c r="K501" s="106"/>
      <c r="L501" s="107"/>
      <c r="M501" s="107"/>
      <c r="N501" s="106"/>
      <c r="O501" s="106"/>
      <c r="Q501" s="271"/>
      <c r="R501" s="16"/>
      <c r="S501" s="27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08"/>
      <c r="C502" s="170"/>
      <c r="D502" s="141"/>
      <c r="E502" s="109"/>
      <c r="F502" s="109"/>
      <c r="G502" s="108"/>
      <c r="H502" s="108"/>
      <c r="I502" s="190"/>
      <c r="J502" s="108"/>
      <c r="K502" s="106"/>
      <c r="L502" s="107"/>
      <c r="M502" s="107"/>
      <c r="N502" s="106"/>
      <c r="O502" s="106"/>
      <c r="Q502" s="271"/>
      <c r="R502" s="16"/>
      <c r="S502" s="27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08"/>
      <c r="C503" s="170"/>
      <c r="D503" s="141"/>
      <c r="E503" s="109"/>
      <c r="F503" s="109"/>
      <c r="G503" s="108"/>
      <c r="H503" s="108"/>
      <c r="I503" s="190"/>
      <c r="J503" s="108"/>
      <c r="K503" s="106"/>
      <c r="L503" s="107"/>
      <c r="M503" s="107"/>
      <c r="N503" s="106"/>
      <c r="O503" s="106"/>
      <c r="Q503" s="271"/>
      <c r="R503" s="16"/>
      <c r="S503" s="27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08"/>
      <c r="C504" s="170"/>
      <c r="D504" s="141"/>
      <c r="E504" s="109"/>
      <c r="F504" s="109"/>
      <c r="G504" s="108"/>
      <c r="H504" s="108"/>
      <c r="I504" s="190"/>
      <c r="J504" s="108"/>
      <c r="K504" s="106"/>
      <c r="L504" s="107"/>
      <c r="M504" s="107"/>
      <c r="N504" s="106"/>
      <c r="O504" s="106"/>
      <c r="Q504" s="271"/>
      <c r="R504" s="16"/>
      <c r="S504" s="27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08"/>
      <c r="C505" s="170"/>
      <c r="D505" s="141"/>
      <c r="E505" s="109"/>
      <c r="F505" s="109"/>
      <c r="G505" s="108"/>
      <c r="H505" s="108"/>
      <c r="I505" s="190"/>
      <c r="J505" s="108"/>
      <c r="K505" s="106"/>
      <c r="L505" s="107"/>
      <c r="M505" s="107"/>
      <c r="N505" s="106"/>
      <c r="O505" s="106"/>
      <c r="Q505" s="271"/>
      <c r="R505" s="16"/>
      <c r="S505" s="27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08"/>
      <c r="C506" s="170"/>
      <c r="D506" s="141"/>
      <c r="E506" s="109"/>
      <c r="F506" s="109"/>
      <c r="G506" s="108"/>
      <c r="H506" s="108"/>
      <c r="I506" s="190"/>
      <c r="J506" s="108"/>
      <c r="K506" s="106"/>
      <c r="L506" s="107"/>
      <c r="M506" s="107"/>
      <c r="N506" s="106"/>
      <c r="O506" s="106"/>
      <c r="Q506" s="271"/>
      <c r="R506" s="16"/>
      <c r="S506" s="27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08"/>
      <c r="C507" s="170"/>
      <c r="D507" s="141"/>
      <c r="E507" s="109"/>
      <c r="F507" s="109"/>
      <c r="G507" s="108"/>
      <c r="H507" s="108"/>
      <c r="I507" s="190"/>
      <c r="J507" s="108"/>
      <c r="K507" s="106"/>
      <c r="L507" s="107"/>
      <c r="M507" s="107"/>
      <c r="N507" s="106"/>
      <c r="O507" s="106"/>
      <c r="Q507" s="271"/>
      <c r="R507" s="16"/>
      <c r="S507" s="27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08"/>
      <c r="C508" s="170"/>
      <c r="D508" s="141"/>
      <c r="E508" s="109"/>
      <c r="F508" s="109"/>
      <c r="G508" s="108"/>
      <c r="H508" s="108"/>
      <c r="I508" s="190"/>
      <c r="J508" s="108"/>
      <c r="K508" s="106"/>
      <c r="L508" s="107"/>
      <c r="M508" s="107"/>
      <c r="N508" s="106"/>
      <c r="O508" s="106"/>
      <c r="Q508" s="271"/>
      <c r="R508" s="16"/>
      <c r="S508" s="27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08"/>
      <c r="C509" s="170"/>
      <c r="D509" s="141"/>
      <c r="E509" s="109"/>
      <c r="F509" s="109"/>
      <c r="G509" s="108"/>
      <c r="H509" s="108"/>
      <c r="I509" s="190"/>
      <c r="J509" s="108"/>
      <c r="K509" s="106"/>
      <c r="L509" s="107"/>
      <c r="M509" s="107"/>
      <c r="N509" s="106"/>
      <c r="O509" s="106"/>
      <c r="Q509" s="271"/>
      <c r="R509" s="16"/>
      <c r="S509" s="27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08"/>
      <c r="C510" s="170"/>
      <c r="D510" s="141"/>
      <c r="E510" s="109"/>
      <c r="F510" s="109"/>
      <c r="G510" s="108"/>
      <c r="H510" s="108"/>
      <c r="I510" s="190"/>
      <c r="J510" s="108"/>
      <c r="K510" s="106"/>
      <c r="L510" s="107"/>
      <c r="M510" s="107"/>
      <c r="N510" s="106"/>
      <c r="O510" s="106"/>
      <c r="Q510" s="271"/>
      <c r="R510" s="16"/>
      <c r="S510" s="27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08"/>
      <c r="C511" s="170"/>
      <c r="D511" s="141"/>
      <c r="E511" s="109"/>
      <c r="F511" s="109"/>
      <c r="G511" s="108"/>
      <c r="H511" s="108"/>
      <c r="I511" s="190"/>
      <c r="J511" s="108"/>
      <c r="K511" s="106"/>
      <c r="L511" s="107"/>
      <c r="M511" s="107"/>
      <c r="N511" s="106"/>
      <c r="O511" s="106"/>
      <c r="Q511" s="271"/>
      <c r="R511" s="16"/>
      <c r="S511" s="27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08"/>
      <c r="C512" s="170"/>
      <c r="D512" s="141"/>
      <c r="E512" s="109"/>
      <c r="F512" s="109"/>
      <c r="G512" s="108"/>
      <c r="H512" s="108"/>
      <c r="I512" s="190"/>
      <c r="J512" s="108"/>
      <c r="K512" s="106"/>
      <c r="L512" s="107"/>
      <c r="M512" s="107"/>
      <c r="N512" s="106"/>
      <c r="O512" s="106"/>
      <c r="Q512" s="271"/>
      <c r="R512" s="16"/>
      <c r="S512" s="27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08"/>
      <c r="C513" s="170"/>
      <c r="D513" s="141"/>
      <c r="E513" s="109"/>
      <c r="F513" s="109"/>
      <c r="G513" s="108"/>
      <c r="H513" s="108"/>
      <c r="I513" s="190"/>
      <c r="J513" s="108"/>
      <c r="K513" s="106"/>
      <c r="L513" s="107"/>
      <c r="M513" s="107"/>
      <c r="N513" s="106"/>
      <c r="O513" s="106"/>
      <c r="Q513" s="271"/>
      <c r="R513" s="16"/>
      <c r="S513" s="27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08"/>
      <c r="C514" s="170"/>
      <c r="D514" s="141"/>
      <c r="E514" s="109"/>
      <c r="F514" s="109"/>
      <c r="G514" s="108"/>
      <c r="H514" s="108"/>
      <c r="I514" s="190"/>
      <c r="J514" s="108"/>
      <c r="K514" s="106"/>
      <c r="L514" s="107"/>
      <c r="M514" s="107"/>
      <c r="N514" s="106"/>
      <c r="O514" s="106"/>
      <c r="Q514" s="271"/>
      <c r="R514" s="16"/>
      <c r="S514" s="27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08"/>
      <c r="C515" s="170"/>
      <c r="D515" s="141"/>
      <c r="E515" s="109"/>
      <c r="F515" s="109"/>
      <c r="G515" s="108"/>
      <c r="H515" s="108"/>
      <c r="I515" s="190"/>
      <c r="J515" s="108"/>
      <c r="K515" s="106"/>
      <c r="L515" s="107"/>
      <c r="M515" s="107"/>
      <c r="N515" s="106"/>
      <c r="O515" s="106"/>
      <c r="Q515" s="271"/>
      <c r="R515" s="16"/>
      <c r="S515" s="27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08"/>
      <c r="C516" s="170"/>
      <c r="D516" s="141"/>
      <c r="E516" s="109"/>
      <c r="F516" s="109"/>
      <c r="G516" s="108"/>
      <c r="H516" s="108"/>
      <c r="I516" s="190"/>
      <c r="J516" s="108"/>
      <c r="K516" s="106"/>
      <c r="L516" s="107"/>
      <c r="M516" s="107"/>
      <c r="N516" s="106"/>
      <c r="O516" s="106"/>
      <c r="Q516" s="271"/>
      <c r="R516" s="16"/>
      <c r="S516" s="27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08"/>
      <c r="C517" s="170"/>
      <c r="D517" s="141"/>
      <c r="E517" s="109"/>
      <c r="F517" s="109"/>
      <c r="G517" s="108"/>
      <c r="H517" s="108"/>
      <c r="I517" s="190"/>
      <c r="J517" s="108"/>
      <c r="K517" s="106"/>
      <c r="L517" s="107"/>
      <c r="M517" s="107"/>
      <c r="N517" s="106"/>
      <c r="O517" s="106"/>
      <c r="Q517" s="271"/>
      <c r="R517" s="16"/>
      <c r="S517" s="27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08"/>
      <c r="C518" s="170"/>
      <c r="D518" s="141"/>
      <c r="E518" s="109"/>
      <c r="F518" s="109"/>
      <c r="G518" s="108"/>
      <c r="H518" s="108"/>
      <c r="I518" s="190"/>
      <c r="J518" s="108"/>
      <c r="K518" s="106"/>
      <c r="L518" s="107"/>
      <c r="M518" s="107"/>
      <c r="N518" s="106"/>
      <c r="O518" s="106"/>
      <c r="Q518" s="271"/>
      <c r="R518" s="16"/>
      <c r="S518" s="27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08"/>
      <c r="C519" s="170"/>
      <c r="D519" s="141"/>
      <c r="E519" s="109"/>
      <c r="F519" s="109"/>
      <c r="G519" s="108"/>
      <c r="H519" s="108"/>
      <c r="I519" s="190"/>
      <c r="J519" s="108"/>
      <c r="K519" s="106"/>
      <c r="L519" s="107"/>
      <c r="M519" s="107"/>
      <c r="N519" s="106"/>
      <c r="O519" s="106"/>
      <c r="Q519" s="271"/>
      <c r="R519" s="16"/>
      <c r="S519" s="27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08"/>
      <c r="C520" s="170"/>
      <c r="D520" s="141"/>
      <c r="E520" s="109"/>
      <c r="F520" s="109"/>
      <c r="G520" s="108"/>
      <c r="H520" s="108"/>
      <c r="I520" s="190"/>
      <c r="J520" s="108"/>
      <c r="K520" s="106"/>
      <c r="L520" s="107"/>
      <c r="M520" s="107"/>
      <c r="N520" s="106"/>
      <c r="O520" s="106"/>
      <c r="Q520" s="271"/>
      <c r="R520" s="16"/>
      <c r="S520" s="27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08"/>
      <c r="C521" s="170"/>
      <c r="D521" s="141"/>
      <c r="E521" s="109"/>
      <c r="F521" s="109"/>
      <c r="G521" s="108"/>
      <c r="H521" s="108"/>
      <c r="I521" s="190"/>
      <c r="J521" s="108"/>
      <c r="K521" s="106"/>
      <c r="L521" s="107"/>
      <c r="M521" s="107"/>
      <c r="N521" s="106"/>
      <c r="O521" s="106"/>
      <c r="Q521" s="271"/>
      <c r="R521" s="16"/>
      <c r="S521" s="27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08"/>
      <c r="C522" s="170"/>
      <c r="D522" s="141"/>
      <c r="E522" s="109"/>
      <c r="F522" s="109"/>
      <c r="G522" s="108"/>
      <c r="H522" s="108"/>
      <c r="I522" s="190"/>
      <c r="J522" s="108"/>
      <c r="K522" s="106"/>
      <c r="L522" s="107"/>
      <c r="M522" s="107"/>
      <c r="N522" s="106"/>
      <c r="O522" s="106"/>
      <c r="Q522" s="271"/>
      <c r="R522" s="16"/>
      <c r="S522" s="27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08"/>
      <c r="C523" s="170"/>
      <c r="D523" s="141"/>
      <c r="E523" s="109"/>
      <c r="F523" s="109"/>
      <c r="G523" s="108"/>
      <c r="H523" s="108"/>
      <c r="I523" s="190"/>
      <c r="J523" s="108"/>
      <c r="K523" s="106"/>
      <c r="L523" s="107"/>
      <c r="M523" s="107"/>
      <c r="N523" s="106"/>
      <c r="O523" s="106"/>
      <c r="Q523" s="271"/>
      <c r="R523" s="16"/>
      <c r="S523" s="27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08"/>
      <c r="C524" s="170"/>
      <c r="D524" s="141"/>
      <c r="E524" s="109"/>
      <c r="F524" s="109"/>
      <c r="G524" s="108"/>
      <c r="H524" s="108"/>
      <c r="I524" s="190"/>
      <c r="J524" s="108"/>
      <c r="K524" s="106"/>
      <c r="L524" s="107"/>
      <c r="M524" s="107"/>
      <c r="N524" s="106"/>
      <c r="O524" s="106"/>
      <c r="Q524" s="271"/>
      <c r="R524" s="16"/>
      <c r="S524" s="27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08"/>
      <c r="C525" s="170"/>
      <c r="D525" s="141"/>
      <c r="E525" s="109"/>
      <c r="F525" s="109"/>
      <c r="G525" s="108"/>
      <c r="H525" s="108"/>
      <c r="I525" s="190"/>
      <c r="J525" s="108"/>
      <c r="K525" s="106"/>
      <c r="L525" s="107"/>
      <c r="M525" s="107"/>
      <c r="N525" s="106"/>
      <c r="O525" s="106"/>
      <c r="Q525" s="271"/>
      <c r="R525" s="16"/>
      <c r="S525" s="27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08"/>
      <c r="C526" s="170"/>
      <c r="D526" s="141"/>
      <c r="E526" s="109"/>
      <c r="F526" s="109"/>
      <c r="G526" s="108"/>
      <c r="H526" s="108"/>
      <c r="I526" s="190"/>
      <c r="J526" s="108"/>
      <c r="K526" s="106"/>
      <c r="L526" s="107"/>
      <c r="M526" s="107"/>
      <c r="N526" s="106"/>
      <c r="O526" s="106"/>
      <c r="Q526" s="271"/>
      <c r="R526" s="16"/>
      <c r="S526" s="27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08"/>
      <c r="C527" s="170"/>
      <c r="D527" s="141"/>
      <c r="E527" s="109"/>
      <c r="F527" s="109"/>
      <c r="G527" s="108"/>
      <c r="H527" s="108"/>
      <c r="I527" s="190"/>
      <c r="J527" s="108"/>
      <c r="K527" s="106"/>
      <c r="L527" s="107"/>
      <c r="M527" s="107"/>
      <c r="N527" s="106"/>
      <c r="O527" s="106"/>
      <c r="Q527" s="271"/>
      <c r="R527" s="16"/>
      <c r="S527" s="27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08"/>
      <c r="C528" s="170"/>
      <c r="D528" s="141"/>
      <c r="E528" s="109"/>
      <c r="F528" s="109"/>
      <c r="G528" s="108"/>
      <c r="H528" s="108"/>
      <c r="I528" s="190"/>
      <c r="J528" s="108"/>
      <c r="K528" s="106"/>
      <c r="L528" s="107"/>
      <c r="M528" s="107"/>
      <c r="N528" s="106"/>
      <c r="O528" s="106"/>
      <c r="Q528" s="271"/>
      <c r="R528" s="16"/>
      <c r="S528" s="27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08"/>
      <c r="C529" s="170"/>
      <c r="D529" s="141"/>
      <c r="E529" s="109"/>
      <c r="F529" s="109"/>
      <c r="G529" s="108"/>
      <c r="H529" s="108"/>
      <c r="I529" s="190"/>
      <c r="J529" s="108"/>
      <c r="K529" s="106"/>
      <c r="L529" s="107"/>
      <c r="M529" s="107"/>
      <c r="N529" s="106"/>
      <c r="O529" s="106"/>
      <c r="Q529" s="271"/>
      <c r="R529" s="16"/>
      <c r="S529" s="27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08"/>
      <c r="C530" s="170"/>
      <c r="D530" s="141"/>
      <c r="E530" s="109"/>
      <c r="F530" s="109"/>
      <c r="G530" s="108"/>
      <c r="H530" s="108"/>
      <c r="I530" s="190"/>
      <c r="J530" s="108"/>
      <c r="K530" s="106"/>
      <c r="L530" s="107"/>
      <c r="M530" s="107"/>
      <c r="N530" s="106"/>
      <c r="O530" s="106"/>
      <c r="Q530" s="271"/>
      <c r="R530" s="16"/>
      <c r="S530" s="27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08"/>
      <c r="C531" s="170"/>
      <c r="D531" s="141"/>
      <c r="E531" s="109"/>
      <c r="F531" s="109"/>
      <c r="G531" s="108"/>
      <c r="H531" s="108"/>
      <c r="I531" s="190"/>
      <c r="J531" s="108"/>
      <c r="K531" s="106"/>
      <c r="L531" s="107"/>
      <c r="M531" s="107"/>
      <c r="N531" s="106"/>
      <c r="O531" s="106"/>
      <c r="Q531" s="271"/>
      <c r="R531" s="16"/>
      <c r="S531" s="27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08"/>
      <c r="C532" s="170"/>
      <c r="D532" s="141"/>
      <c r="E532" s="109"/>
      <c r="F532" s="109"/>
      <c r="G532" s="108"/>
      <c r="H532" s="108"/>
      <c r="I532" s="190"/>
      <c r="J532" s="108"/>
      <c r="K532" s="106"/>
      <c r="L532" s="107"/>
      <c r="M532" s="107"/>
      <c r="N532" s="106"/>
      <c r="O532" s="106"/>
      <c r="Q532" s="271"/>
      <c r="R532" s="16"/>
      <c r="S532" s="27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08"/>
      <c r="C533" s="170"/>
      <c r="D533" s="141"/>
      <c r="E533" s="109"/>
      <c r="F533" s="109"/>
      <c r="G533" s="108"/>
      <c r="H533" s="108"/>
      <c r="I533" s="190"/>
      <c r="J533" s="108"/>
      <c r="K533" s="106"/>
      <c r="L533" s="107"/>
      <c r="M533" s="107"/>
      <c r="N533" s="106"/>
      <c r="O533" s="106"/>
      <c r="Q533" s="271"/>
      <c r="R533" s="16"/>
      <c r="S533" s="27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08"/>
      <c r="C534" s="170"/>
      <c r="D534" s="141"/>
      <c r="E534" s="109"/>
      <c r="F534" s="109"/>
      <c r="G534" s="108"/>
      <c r="H534" s="108"/>
      <c r="I534" s="190"/>
      <c r="J534" s="108"/>
      <c r="K534" s="106"/>
      <c r="L534" s="107"/>
      <c r="M534" s="107"/>
      <c r="N534" s="106"/>
      <c r="O534" s="106"/>
      <c r="Q534" s="271"/>
      <c r="R534" s="16"/>
      <c r="S534" s="27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08"/>
      <c r="C535" s="170"/>
      <c r="D535" s="141"/>
      <c r="E535" s="109"/>
      <c r="F535" s="109"/>
      <c r="G535" s="108"/>
      <c r="H535" s="108"/>
      <c r="I535" s="190"/>
      <c r="J535" s="108"/>
      <c r="K535" s="106"/>
      <c r="L535" s="107"/>
      <c r="M535" s="107"/>
      <c r="N535" s="106"/>
      <c r="O535" s="106"/>
      <c r="Q535" s="271"/>
      <c r="R535" s="16"/>
      <c r="S535" s="27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08"/>
      <c r="C536" s="170"/>
      <c r="D536" s="141"/>
      <c r="E536" s="109"/>
      <c r="F536" s="109"/>
      <c r="G536" s="108"/>
      <c r="H536" s="108"/>
      <c r="I536" s="190"/>
      <c r="J536" s="108"/>
      <c r="K536" s="106"/>
      <c r="L536" s="107"/>
      <c r="M536" s="107"/>
      <c r="N536" s="106"/>
      <c r="O536" s="106"/>
      <c r="Q536" s="271"/>
      <c r="R536" s="16"/>
      <c r="S536" s="27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08"/>
      <c r="C537" s="170"/>
      <c r="D537" s="141"/>
      <c r="E537" s="109"/>
      <c r="F537" s="109"/>
      <c r="G537" s="108"/>
      <c r="H537" s="108"/>
      <c r="I537" s="190"/>
      <c r="J537" s="108"/>
      <c r="K537" s="106"/>
      <c r="L537" s="107"/>
      <c r="M537" s="107"/>
      <c r="N537" s="106"/>
      <c r="O537" s="106"/>
      <c r="Q537" s="271"/>
      <c r="R537" s="16"/>
      <c r="S537" s="27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08"/>
      <c r="C538" s="170"/>
      <c r="D538" s="141"/>
      <c r="E538" s="109"/>
      <c r="F538" s="109"/>
      <c r="G538" s="108"/>
      <c r="H538" s="108"/>
      <c r="I538" s="190"/>
      <c r="J538" s="108"/>
      <c r="K538" s="106"/>
      <c r="L538" s="107"/>
      <c r="M538" s="107"/>
      <c r="N538" s="106"/>
      <c r="O538" s="106"/>
      <c r="Q538" s="271"/>
      <c r="R538" s="16"/>
      <c r="S538" s="27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08"/>
      <c r="C539" s="170"/>
      <c r="D539" s="141"/>
      <c r="E539" s="109"/>
      <c r="F539" s="109"/>
      <c r="G539" s="108"/>
      <c r="H539" s="108"/>
      <c r="I539" s="190"/>
      <c r="J539" s="108"/>
      <c r="K539" s="106"/>
      <c r="L539" s="107"/>
      <c r="M539" s="107"/>
      <c r="N539" s="106"/>
      <c r="O539" s="106"/>
      <c r="Q539" s="271"/>
      <c r="R539" s="16"/>
      <c r="S539" s="27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08"/>
      <c r="C540" s="170"/>
      <c r="D540" s="141"/>
      <c r="E540" s="109"/>
      <c r="F540" s="109"/>
      <c r="G540" s="108"/>
      <c r="H540" s="108"/>
      <c r="I540" s="190"/>
      <c r="J540" s="108"/>
      <c r="K540" s="106"/>
      <c r="L540" s="107"/>
      <c r="M540" s="107"/>
      <c r="N540" s="106"/>
      <c r="O540" s="106"/>
      <c r="Q540" s="271"/>
      <c r="R540" s="16"/>
      <c r="S540" s="27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08"/>
      <c r="C541" s="170"/>
      <c r="D541" s="141"/>
      <c r="E541" s="109"/>
      <c r="F541" s="109"/>
      <c r="G541" s="108"/>
      <c r="H541" s="108"/>
      <c r="I541" s="190"/>
      <c r="J541" s="108"/>
      <c r="K541" s="106"/>
      <c r="L541" s="107"/>
      <c r="M541" s="107"/>
      <c r="N541" s="106"/>
      <c r="O541" s="106"/>
      <c r="Q541" s="271"/>
      <c r="R541" s="16"/>
      <c r="S541" s="27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08"/>
      <c r="C542" s="170"/>
      <c r="D542" s="141"/>
      <c r="E542" s="109"/>
      <c r="F542" s="109"/>
      <c r="G542" s="108"/>
      <c r="H542" s="108"/>
      <c r="I542" s="190"/>
      <c r="J542" s="108"/>
      <c r="K542" s="106"/>
      <c r="L542" s="107"/>
      <c r="M542" s="107"/>
      <c r="N542" s="106"/>
      <c r="O542" s="106"/>
      <c r="Q542" s="271"/>
      <c r="R542" s="16"/>
      <c r="S542" s="27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08"/>
      <c r="C543" s="170"/>
      <c r="D543" s="141"/>
      <c r="E543" s="109"/>
      <c r="F543" s="109"/>
      <c r="G543" s="108"/>
      <c r="H543" s="108"/>
      <c r="I543" s="190"/>
      <c r="J543" s="108"/>
      <c r="K543" s="106"/>
      <c r="L543" s="107"/>
      <c r="M543" s="107"/>
      <c r="N543" s="106"/>
      <c r="O543" s="106"/>
      <c r="Q543" s="271"/>
      <c r="R543" s="16"/>
      <c r="S543" s="27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08"/>
      <c r="C544" s="170"/>
      <c r="D544" s="141"/>
      <c r="E544" s="109"/>
      <c r="F544" s="109"/>
      <c r="G544" s="108"/>
      <c r="H544" s="108"/>
      <c r="I544" s="190"/>
      <c r="J544" s="108"/>
      <c r="K544" s="106"/>
      <c r="L544" s="107"/>
      <c r="M544" s="107"/>
      <c r="N544" s="106"/>
      <c r="O544" s="106"/>
      <c r="Q544" s="271"/>
      <c r="R544" s="16"/>
      <c r="S544" s="27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08"/>
      <c r="C545" s="170"/>
      <c r="D545" s="141"/>
      <c r="E545" s="109"/>
      <c r="F545" s="109"/>
      <c r="G545" s="108"/>
      <c r="H545" s="108"/>
      <c r="I545" s="190"/>
      <c r="J545" s="108"/>
      <c r="K545" s="106"/>
      <c r="L545" s="107"/>
      <c r="M545" s="107"/>
      <c r="N545" s="106"/>
      <c r="O545" s="106"/>
      <c r="Q545" s="271"/>
      <c r="R545" s="16"/>
      <c r="S545" s="27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08"/>
      <c r="C546" s="170"/>
      <c r="D546" s="141"/>
      <c r="E546" s="109"/>
      <c r="F546" s="109"/>
      <c r="G546" s="108"/>
      <c r="H546" s="108"/>
      <c r="I546" s="190"/>
      <c r="J546" s="108"/>
      <c r="K546" s="106"/>
      <c r="L546" s="107"/>
      <c r="M546" s="107"/>
      <c r="N546" s="106"/>
      <c r="O546" s="106"/>
      <c r="Q546" s="271"/>
      <c r="R546" s="16"/>
      <c r="S546" s="27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08"/>
      <c r="C547" s="170"/>
      <c r="D547" s="141"/>
      <c r="E547" s="109"/>
      <c r="F547" s="109"/>
      <c r="G547" s="108"/>
      <c r="H547" s="108"/>
      <c r="I547" s="190"/>
      <c r="J547" s="108"/>
      <c r="K547" s="106"/>
      <c r="L547" s="107"/>
      <c r="M547" s="107"/>
      <c r="N547" s="106"/>
      <c r="O547" s="106"/>
      <c r="Q547" s="271"/>
      <c r="R547" s="16"/>
      <c r="S547" s="27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08"/>
      <c r="C548" s="170"/>
      <c r="D548" s="141"/>
      <c r="E548" s="109"/>
      <c r="F548" s="109"/>
      <c r="G548" s="108"/>
      <c r="H548" s="108"/>
      <c r="I548" s="190"/>
      <c r="J548" s="108"/>
      <c r="K548" s="106"/>
      <c r="L548" s="107"/>
      <c r="M548" s="107"/>
      <c r="N548" s="106"/>
      <c r="O548" s="106"/>
      <c r="Q548" s="271"/>
      <c r="R548" s="16"/>
      <c r="S548" s="27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08"/>
      <c r="C549" s="170"/>
      <c r="D549" s="141"/>
      <c r="E549" s="109"/>
      <c r="F549" s="109"/>
      <c r="G549" s="108"/>
      <c r="H549" s="108"/>
      <c r="I549" s="190"/>
      <c r="J549" s="108"/>
      <c r="K549" s="106"/>
      <c r="L549" s="107"/>
      <c r="M549" s="107"/>
      <c r="N549" s="106"/>
      <c r="O549" s="106"/>
      <c r="Q549" s="271"/>
      <c r="R549" s="16"/>
      <c r="S549" s="27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08"/>
      <c r="C550" s="170"/>
      <c r="D550" s="141"/>
      <c r="E550" s="109"/>
      <c r="F550" s="109"/>
      <c r="G550" s="108"/>
      <c r="H550" s="108"/>
      <c r="I550" s="190"/>
      <c r="J550" s="108"/>
      <c r="K550" s="106"/>
      <c r="L550" s="107"/>
      <c r="M550" s="107"/>
      <c r="N550" s="106"/>
      <c r="O550" s="106"/>
      <c r="Q550" s="271"/>
      <c r="R550" s="16"/>
      <c r="S550" s="27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08"/>
      <c r="C551" s="170"/>
      <c r="D551" s="141"/>
      <c r="E551" s="109"/>
      <c r="F551" s="109"/>
      <c r="G551" s="108"/>
      <c r="H551" s="108"/>
      <c r="I551" s="190"/>
      <c r="J551" s="108"/>
      <c r="K551" s="106"/>
      <c r="L551" s="107"/>
      <c r="M551" s="107"/>
      <c r="N551" s="106"/>
      <c r="O551" s="106"/>
      <c r="Q551" s="271"/>
      <c r="R551" s="16"/>
      <c r="S551" s="27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08"/>
      <c r="C552" s="170"/>
      <c r="D552" s="141"/>
      <c r="E552" s="109"/>
      <c r="F552" s="109"/>
      <c r="G552" s="108"/>
      <c r="H552" s="108"/>
      <c r="I552" s="190"/>
      <c r="J552" s="108"/>
      <c r="K552" s="106"/>
      <c r="L552" s="107"/>
      <c r="M552" s="107"/>
      <c r="N552" s="106"/>
      <c r="O552" s="106"/>
      <c r="Q552" s="271"/>
      <c r="R552" s="16"/>
      <c r="S552" s="27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08"/>
      <c r="C553" s="170"/>
      <c r="D553" s="141"/>
      <c r="E553" s="109"/>
      <c r="F553" s="109"/>
      <c r="G553" s="108"/>
      <c r="H553" s="108"/>
      <c r="I553" s="190"/>
      <c r="J553" s="108"/>
      <c r="K553" s="106"/>
      <c r="L553" s="107"/>
      <c r="M553" s="107"/>
      <c r="N553" s="106"/>
      <c r="O553" s="106"/>
      <c r="Q553" s="271"/>
      <c r="R553" s="16"/>
      <c r="S553" s="27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08"/>
      <c r="C554" s="170"/>
      <c r="D554" s="141"/>
      <c r="E554" s="109"/>
      <c r="F554" s="109"/>
      <c r="G554" s="108"/>
      <c r="H554" s="108"/>
      <c r="I554" s="190"/>
      <c r="J554" s="108"/>
      <c r="K554" s="106"/>
      <c r="L554" s="107"/>
      <c r="M554" s="107"/>
      <c r="N554" s="106"/>
      <c r="O554" s="106"/>
      <c r="Q554" s="271"/>
      <c r="R554" s="16"/>
      <c r="S554" s="27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08"/>
      <c r="C555" s="170"/>
      <c r="D555" s="141"/>
      <c r="E555" s="109"/>
      <c r="F555" s="109"/>
      <c r="G555" s="108"/>
      <c r="H555" s="108"/>
      <c r="I555" s="190"/>
      <c r="J555" s="108"/>
      <c r="K555" s="106"/>
      <c r="L555" s="107"/>
      <c r="M555" s="107"/>
      <c r="N555" s="106"/>
      <c r="O555" s="106"/>
      <c r="Q555" s="271"/>
      <c r="R555" s="16"/>
      <c r="S555" s="27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08"/>
      <c r="C556" s="170"/>
      <c r="D556" s="141"/>
      <c r="E556" s="109"/>
      <c r="F556" s="109"/>
      <c r="G556" s="108"/>
      <c r="H556" s="108"/>
      <c r="I556" s="190"/>
      <c r="J556" s="108"/>
      <c r="K556" s="106"/>
      <c r="L556" s="107"/>
      <c r="M556" s="107"/>
      <c r="N556" s="106"/>
      <c r="O556" s="106"/>
      <c r="Q556" s="271"/>
      <c r="R556" s="16"/>
      <c r="S556" s="27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08"/>
      <c r="C557" s="170"/>
      <c r="D557" s="141"/>
      <c r="E557" s="109"/>
      <c r="F557" s="109"/>
      <c r="G557" s="108"/>
      <c r="H557" s="108"/>
      <c r="I557" s="190"/>
      <c r="J557" s="108"/>
      <c r="K557" s="106"/>
      <c r="L557" s="107"/>
      <c r="M557" s="107"/>
      <c r="N557" s="106"/>
      <c r="O557" s="106"/>
      <c r="Q557" s="271"/>
      <c r="R557" s="16"/>
      <c r="S557" s="27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08"/>
      <c r="C558" s="170"/>
      <c r="D558" s="141"/>
      <c r="E558" s="109"/>
      <c r="F558" s="109"/>
      <c r="G558" s="108"/>
      <c r="H558" s="108"/>
      <c r="I558" s="190"/>
      <c r="J558" s="108"/>
      <c r="K558" s="106"/>
      <c r="L558" s="107"/>
      <c r="M558" s="107"/>
      <c r="N558" s="106"/>
      <c r="O558" s="106"/>
      <c r="Q558" s="271"/>
      <c r="R558" s="16"/>
      <c r="S558" s="27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08"/>
      <c r="C559" s="170"/>
      <c r="D559" s="141"/>
      <c r="E559" s="109"/>
      <c r="F559" s="109"/>
      <c r="G559" s="108"/>
      <c r="H559" s="108"/>
      <c r="I559" s="190"/>
      <c r="J559" s="108"/>
      <c r="K559" s="106"/>
      <c r="L559" s="107"/>
      <c r="M559" s="107"/>
      <c r="N559" s="106"/>
      <c r="O559" s="106"/>
      <c r="Q559" s="271"/>
      <c r="R559" s="16"/>
      <c r="S559" s="27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08"/>
      <c r="C560" s="170"/>
      <c r="D560" s="141"/>
      <c r="E560" s="109"/>
      <c r="F560" s="109"/>
      <c r="G560" s="108"/>
      <c r="H560" s="108"/>
      <c r="I560" s="190"/>
      <c r="J560" s="108"/>
      <c r="K560" s="106"/>
      <c r="L560" s="107"/>
      <c r="M560" s="107"/>
      <c r="N560" s="106"/>
      <c r="O560" s="106"/>
      <c r="Q560" s="271"/>
      <c r="R560" s="16"/>
      <c r="S560" s="27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08"/>
      <c r="C561" s="170"/>
      <c r="D561" s="141"/>
      <c r="E561" s="109"/>
      <c r="F561" s="109"/>
      <c r="G561" s="108"/>
      <c r="H561" s="108"/>
      <c r="I561" s="190"/>
      <c r="J561" s="108"/>
      <c r="K561" s="106"/>
      <c r="L561" s="107"/>
      <c r="M561" s="107"/>
      <c r="N561" s="106"/>
      <c r="O561" s="106"/>
      <c r="Q561" s="271"/>
      <c r="R561" s="16"/>
      <c r="S561" s="27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08"/>
      <c r="C562" s="170"/>
      <c r="D562" s="141"/>
      <c r="E562" s="109"/>
      <c r="F562" s="109"/>
      <c r="G562" s="108"/>
      <c r="H562" s="108"/>
      <c r="I562" s="190"/>
      <c r="J562" s="108"/>
      <c r="K562" s="106"/>
      <c r="L562" s="107"/>
      <c r="M562" s="107"/>
      <c r="N562" s="106"/>
      <c r="O562" s="106"/>
      <c r="Q562" s="271"/>
      <c r="R562" s="16"/>
      <c r="S562" s="27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08"/>
      <c r="C563" s="170"/>
      <c r="D563" s="141"/>
      <c r="E563" s="109"/>
      <c r="F563" s="109"/>
      <c r="G563" s="108"/>
      <c r="H563" s="108"/>
      <c r="I563" s="190"/>
      <c r="J563" s="108"/>
      <c r="K563" s="106"/>
      <c r="L563" s="107"/>
      <c r="M563" s="107"/>
      <c r="N563" s="106"/>
      <c r="O563" s="106"/>
      <c r="Q563" s="271"/>
      <c r="R563" s="16"/>
      <c r="S563" s="27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08"/>
      <c r="C564" s="170"/>
      <c r="D564" s="141"/>
      <c r="E564" s="109"/>
      <c r="F564" s="109"/>
      <c r="G564" s="108"/>
      <c r="H564" s="108"/>
      <c r="I564" s="190"/>
      <c r="J564" s="108"/>
      <c r="K564" s="106"/>
      <c r="L564" s="107"/>
      <c r="M564" s="107"/>
      <c r="N564" s="106"/>
      <c r="O564" s="106"/>
      <c r="Q564" s="271"/>
      <c r="R564" s="16"/>
      <c r="S564" s="27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08"/>
      <c r="C565" s="170"/>
      <c r="D565" s="141"/>
      <c r="E565" s="109"/>
      <c r="F565" s="109"/>
      <c r="G565" s="108"/>
      <c r="H565" s="108"/>
      <c r="I565" s="190"/>
      <c r="J565" s="108"/>
      <c r="K565" s="106"/>
      <c r="L565" s="107"/>
      <c r="M565" s="107"/>
      <c r="N565" s="106"/>
      <c r="O565" s="106"/>
      <c r="Q565" s="271"/>
      <c r="R565" s="16"/>
      <c r="S565" s="27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08"/>
      <c r="C566" s="170"/>
      <c r="D566" s="141"/>
      <c r="E566" s="109"/>
      <c r="F566" s="109"/>
      <c r="G566" s="108"/>
      <c r="H566" s="108"/>
      <c r="I566" s="190"/>
      <c r="J566" s="108"/>
      <c r="K566" s="106"/>
      <c r="L566" s="107"/>
      <c r="M566" s="107"/>
      <c r="N566" s="106"/>
      <c r="O566" s="106"/>
      <c r="Q566" s="271"/>
      <c r="R566" s="16"/>
      <c r="S566" s="27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08"/>
      <c r="C567" s="170"/>
      <c r="D567" s="141"/>
      <c r="E567" s="109"/>
      <c r="F567" s="109"/>
      <c r="G567" s="108"/>
      <c r="H567" s="108"/>
      <c r="I567" s="190"/>
      <c r="J567" s="108"/>
      <c r="K567" s="106"/>
      <c r="L567" s="107"/>
      <c r="M567" s="107"/>
      <c r="N567" s="106"/>
      <c r="O567" s="106"/>
      <c r="Q567" s="271"/>
      <c r="R567" s="16"/>
      <c r="S567" s="27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08"/>
      <c r="C568" s="170"/>
      <c r="D568" s="141"/>
      <c r="E568" s="109"/>
      <c r="F568" s="109"/>
      <c r="G568" s="108"/>
      <c r="H568" s="108"/>
      <c r="I568" s="190"/>
      <c r="J568" s="108"/>
      <c r="K568" s="106"/>
      <c r="L568" s="107"/>
      <c r="M568" s="107"/>
      <c r="N568" s="106"/>
      <c r="O568" s="106"/>
      <c r="Q568" s="271"/>
      <c r="R568" s="16"/>
      <c r="S568" s="27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08"/>
      <c r="C569" s="170"/>
      <c r="D569" s="141"/>
      <c r="E569" s="109"/>
      <c r="F569" s="109"/>
      <c r="G569" s="108"/>
      <c r="H569" s="108"/>
      <c r="I569" s="190"/>
      <c r="J569" s="108"/>
      <c r="K569" s="106"/>
      <c r="L569" s="107"/>
      <c r="M569" s="107"/>
      <c r="N569" s="106"/>
      <c r="O569" s="106"/>
      <c r="Q569" s="271"/>
      <c r="R569" s="16"/>
      <c r="S569" s="27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08"/>
      <c r="C570" s="170"/>
      <c r="D570" s="141"/>
      <c r="E570" s="109"/>
      <c r="F570" s="109"/>
      <c r="G570" s="108"/>
      <c r="H570" s="108"/>
      <c r="I570" s="190"/>
      <c r="J570" s="108"/>
      <c r="K570" s="106"/>
      <c r="L570" s="107"/>
      <c r="M570" s="107"/>
      <c r="N570" s="106"/>
      <c r="O570" s="106"/>
      <c r="Q570" s="271"/>
      <c r="R570" s="16"/>
      <c r="S570" s="27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08"/>
      <c r="C571" s="170"/>
      <c r="D571" s="141"/>
      <c r="E571" s="109"/>
      <c r="F571" s="109"/>
      <c r="G571" s="108"/>
      <c r="H571" s="108"/>
      <c r="I571" s="190"/>
      <c r="J571" s="108"/>
      <c r="K571" s="106"/>
      <c r="L571" s="107"/>
      <c r="M571" s="107"/>
      <c r="N571" s="106"/>
      <c r="O571" s="106"/>
      <c r="Q571" s="271"/>
      <c r="R571" s="16"/>
      <c r="S571" s="27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08"/>
      <c r="C572" s="170"/>
      <c r="D572" s="141"/>
      <c r="E572" s="109"/>
      <c r="F572" s="109"/>
      <c r="G572" s="108"/>
      <c r="H572" s="108"/>
      <c r="I572" s="190"/>
      <c r="J572" s="108"/>
      <c r="K572" s="106"/>
      <c r="L572" s="107"/>
      <c r="M572" s="107"/>
      <c r="N572" s="106"/>
      <c r="O572" s="106"/>
      <c r="Q572" s="271"/>
      <c r="R572" s="16"/>
      <c r="S572" s="27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08"/>
      <c r="C573" s="170"/>
      <c r="D573" s="141"/>
      <c r="E573" s="109"/>
      <c r="F573" s="109"/>
      <c r="G573" s="108"/>
      <c r="H573" s="108"/>
      <c r="I573" s="190"/>
      <c r="J573" s="108"/>
      <c r="K573" s="106"/>
      <c r="L573" s="107"/>
      <c r="M573" s="107"/>
      <c r="N573" s="106"/>
      <c r="O573" s="106"/>
      <c r="Q573" s="271"/>
      <c r="R573" s="16"/>
      <c r="S573" s="27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08"/>
      <c r="C574" s="170"/>
      <c r="D574" s="141"/>
      <c r="E574" s="109"/>
      <c r="F574" s="109"/>
      <c r="G574" s="108"/>
      <c r="H574" s="108"/>
      <c r="I574" s="190"/>
      <c r="J574" s="108"/>
      <c r="K574" s="106"/>
      <c r="L574" s="107"/>
      <c r="M574" s="107"/>
      <c r="N574" s="106"/>
      <c r="O574" s="106"/>
      <c r="Q574" s="271"/>
      <c r="R574" s="16"/>
      <c r="S574" s="27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08"/>
      <c r="C575" s="170"/>
      <c r="D575" s="141"/>
      <c r="E575" s="109"/>
      <c r="F575" s="109"/>
      <c r="G575" s="108"/>
      <c r="H575" s="108"/>
      <c r="I575" s="190"/>
      <c r="J575" s="108"/>
      <c r="K575" s="106"/>
      <c r="L575" s="107"/>
      <c r="M575" s="107"/>
      <c r="N575" s="106"/>
      <c r="O575" s="106"/>
      <c r="Q575" s="271"/>
      <c r="R575" s="16"/>
      <c r="S575" s="27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08"/>
      <c r="C576" s="170"/>
      <c r="D576" s="141"/>
      <c r="E576" s="109"/>
      <c r="F576" s="109"/>
      <c r="G576" s="108"/>
      <c r="H576" s="108"/>
      <c r="I576" s="190"/>
      <c r="J576" s="108"/>
      <c r="K576" s="106"/>
      <c r="L576" s="107"/>
      <c r="M576" s="107"/>
      <c r="N576" s="106"/>
      <c r="O576" s="106"/>
      <c r="Q576" s="271"/>
      <c r="R576" s="16"/>
      <c r="S576" s="27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08"/>
      <c r="C577" s="170"/>
      <c r="D577" s="141"/>
      <c r="E577" s="109"/>
      <c r="F577" s="109"/>
      <c r="G577" s="108"/>
      <c r="H577" s="108"/>
      <c r="I577" s="190"/>
      <c r="J577" s="108"/>
      <c r="K577" s="106"/>
      <c r="L577" s="107"/>
      <c r="M577" s="107"/>
      <c r="N577" s="106"/>
      <c r="O577" s="106"/>
      <c r="Q577" s="271"/>
      <c r="R577" s="16"/>
      <c r="S577" s="27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08"/>
      <c r="C578" s="170"/>
      <c r="D578" s="141"/>
      <c r="E578" s="109"/>
      <c r="F578" s="109"/>
      <c r="G578" s="108"/>
      <c r="H578" s="108"/>
      <c r="I578" s="190"/>
      <c r="J578" s="108"/>
      <c r="K578" s="106"/>
      <c r="L578" s="107"/>
      <c r="M578" s="107"/>
      <c r="N578" s="106"/>
      <c r="O578" s="106"/>
      <c r="Q578" s="271"/>
      <c r="R578" s="16"/>
      <c r="S578" s="27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08"/>
      <c r="C579" s="170"/>
      <c r="D579" s="141"/>
      <c r="E579" s="109"/>
      <c r="F579" s="109"/>
      <c r="G579" s="108"/>
      <c r="H579" s="108"/>
      <c r="I579" s="190"/>
      <c r="J579" s="108"/>
      <c r="K579" s="106"/>
      <c r="L579" s="107"/>
      <c r="M579" s="107"/>
      <c r="N579" s="106"/>
      <c r="O579" s="106"/>
      <c r="Q579" s="271"/>
      <c r="R579" s="16"/>
      <c r="S579" s="27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08"/>
      <c r="C580" s="170"/>
      <c r="D580" s="141"/>
      <c r="E580" s="109"/>
      <c r="F580" s="109"/>
      <c r="G580" s="108"/>
      <c r="H580" s="108"/>
      <c r="I580" s="190"/>
      <c r="J580" s="108"/>
      <c r="K580" s="106"/>
      <c r="L580" s="107"/>
      <c r="M580" s="107"/>
      <c r="N580" s="106"/>
      <c r="O580" s="106"/>
      <c r="Q580" s="271"/>
      <c r="R580" s="16"/>
      <c r="S580" s="27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08"/>
      <c r="C581" s="170"/>
      <c r="D581" s="141"/>
      <c r="E581" s="109"/>
      <c r="F581" s="109"/>
      <c r="G581" s="108"/>
      <c r="H581" s="108"/>
      <c r="I581" s="190"/>
      <c r="J581" s="108"/>
      <c r="K581" s="106"/>
      <c r="L581" s="107"/>
      <c r="M581" s="107"/>
      <c r="N581" s="106"/>
      <c r="O581" s="106"/>
      <c r="Q581" s="271"/>
      <c r="R581" s="16"/>
      <c r="S581" s="27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08"/>
      <c r="C582" s="170"/>
      <c r="D582" s="141"/>
      <c r="E582" s="109"/>
      <c r="F582" s="109"/>
      <c r="G582" s="108"/>
      <c r="H582" s="108"/>
      <c r="I582" s="190"/>
      <c r="J582" s="108"/>
      <c r="K582" s="106"/>
      <c r="L582" s="107"/>
      <c r="M582" s="107"/>
      <c r="N582" s="106"/>
      <c r="O582" s="106"/>
      <c r="Q582" s="271"/>
      <c r="R582" s="16"/>
      <c r="S582" s="27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08"/>
      <c r="C583" s="170"/>
      <c r="D583" s="141"/>
      <c r="E583" s="109"/>
      <c r="F583" s="109"/>
      <c r="G583" s="108"/>
      <c r="H583" s="108"/>
      <c r="I583" s="190"/>
      <c r="J583" s="108"/>
      <c r="K583" s="106"/>
      <c r="L583" s="107"/>
      <c r="M583" s="107"/>
      <c r="N583" s="106"/>
      <c r="O583" s="106"/>
      <c r="Q583" s="271"/>
      <c r="R583" s="16"/>
      <c r="S583" s="27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08"/>
      <c r="C584" s="170"/>
      <c r="D584" s="141"/>
      <c r="E584" s="109"/>
      <c r="F584" s="109"/>
      <c r="G584" s="108"/>
      <c r="H584" s="108"/>
      <c r="I584" s="190"/>
      <c r="J584" s="108"/>
      <c r="K584" s="106"/>
      <c r="L584" s="107"/>
      <c r="M584" s="107"/>
      <c r="N584" s="106"/>
      <c r="O584" s="106"/>
      <c r="Q584" s="271"/>
      <c r="R584" s="16"/>
      <c r="S584" s="27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08"/>
      <c r="C585" s="170"/>
      <c r="D585" s="141"/>
      <c r="E585" s="109"/>
      <c r="F585" s="109"/>
      <c r="G585" s="108"/>
      <c r="H585" s="108"/>
      <c r="I585" s="190"/>
      <c r="J585" s="108"/>
      <c r="K585" s="106"/>
      <c r="L585" s="107"/>
      <c r="M585" s="107"/>
      <c r="N585" s="106"/>
      <c r="O585" s="106"/>
      <c r="Q585" s="271"/>
      <c r="R585" s="16"/>
      <c r="S585" s="27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08"/>
      <c r="C586" s="170"/>
      <c r="D586" s="141"/>
      <c r="E586" s="109"/>
      <c r="F586" s="109"/>
      <c r="G586" s="108"/>
      <c r="H586" s="108"/>
      <c r="I586" s="190"/>
      <c r="J586" s="108"/>
      <c r="K586" s="106"/>
      <c r="L586" s="107"/>
      <c r="M586" s="107"/>
      <c r="N586" s="106"/>
      <c r="O586" s="106"/>
      <c r="Q586" s="271"/>
      <c r="R586" s="16"/>
      <c r="S586" s="27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08"/>
      <c r="C587" s="170"/>
      <c r="D587" s="141"/>
      <c r="E587" s="109"/>
      <c r="F587" s="109"/>
      <c r="G587" s="108"/>
      <c r="H587" s="108"/>
      <c r="I587" s="190"/>
      <c r="J587" s="108"/>
      <c r="K587" s="106"/>
      <c r="L587" s="107"/>
      <c r="M587" s="107"/>
      <c r="N587" s="106"/>
      <c r="O587" s="106"/>
      <c r="Q587" s="271"/>
      <c r="R587" s="16"/>
      <c r="S587" s="27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08"/>
      <c r="C588" s="170"/>
      <c r="D588" s="141"/>
      <c r="E588" s="109"/>
      <c r="F588" s="109"/>
      <c r="G588" s="108"/>
      <c r="H588" s="108"/>
      <c r="I588" s="190"/>
      <c r="J588" s="108"/>
      <c r="K588" s="106"/>
      <c r="L588" s="107"/>
      <c r="M588" s="107"/>
      <c r="N588" s="106"/>
      <c r="O588" s="106"/>
      <c r="Q588" s="271"/>
      <c r="R588" s="16"/>
      <c r="S588" s="27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08"/>
      <c r="C589" s="170"/>
      <c r="D589" s="141"/>
      <c r="E589" s="109"/>
      <c r="F589" s="109"/>
      <c r="G589" s="108"/>
      <c r="H589" s="108"/>
      <c r="I589" s="190"/>
      <c r="J589" s="108"/>
      <c r="K589" s="106"/>
      <c r="L589" s="107"/>
      <c r="M589" s="107"/>
      <c r="N589" s="106"/>
      <c r="O589" s="106"/>
      <c r="Q589" s="271"/>
      <c r="R589" s="16"/>
      <c r="S589" s="27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08"/>
      <c r="C590" s="170"/>
      <c r="D590" s="141"/>
      <c r="E590" s="109"/>
      <c r="F590" s="109"/>
      <c r="G590" s="108"/>
      <c r="H590" s="108"/>
      <c r="I590" s="190"/>
      <c r="J590" s="108"/>
      <c r="K590" s="106"/>
      <c r="L590" s="107"/>
      <c r="M590" s="107"/>
      <c r="N590" s="106"/>
      <c r="O590" s="106"/>
      <c r="Q590" s="271"/>
      <c r="R590" s="16"/>
      <c r="S590" s="27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08"/>
      <c r="C591" s="170"/>
      <c r="D591" s="141"/>
      <c r="E591" s="109"/>
      <c r="F591" s="109"/>
      <c r="G591" s="108"/>
      <c r="H591" s="108"/>
      <c r="I591" s="190"/>
      <c r="J591" s="108"/>
      <c r="K591" s="106"/>
      <c r="L591" s="107"/>
      <c r="M591" s="107"/>
      <c r="N591" s="106"/>
      <c r="O591" s="106"/>
      <c r="Q591" s="271"/>
      <c r="R591" s="16"/>
      <c r="S591" s="27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08"/>
      <c r="C592" s="170"/>
      <c r="D592" s="141"/>
      <c r="E592" s="109"/>
      <c r="F592" s="109"/>
      <c r="G592" s="108"/>
      <c r="H592" s="108"/>
      <c r="I592" s="190"/>
      <c r="J592" s="108"/>
      <c r="K592" s="106"/>
      <c r="L592" s="107"/>
      <c r="M592" s="107"/>
      <c r="N592" s="106"/>
      <c r="O592" s="106"/>
      <c r="Q592" s="271"/>
      <c r="R592" s="16"/>
      <c r="S592" s="27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08"/>
      <c r="C593" s="170"/>
      <c r="D593" s="141"/>
      <c r="E593" s="109"/>
      <c r="F593" s="109"/>
      <c r="G593" s="108"/>
      <c r="H593" s="108"/>
      <c r="I593" s="190"/>
      <c r="J593" s="108"/>
      <c r="K593" s="106"/>
      <c r="L593" s="107"/>
      <c r="M593" s="107"/>
      <c r="N593" s="106"/>
      <c r="O593" s="106"/>
      <c r="Q593" s="271"/>
      <c r="R593" s="16"/>
      <c r="S593" s="27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08"/>
      <c r="C594" s="170"/>
      <c r="D594" s="141"/>
      <c r="E594" s="109"/>
      <c r="F594" s="109"/>
      <c r="G594" s="108"/>
      <c r="H594" s="108"/>
      <c r="I594" s="190"/>
      <c r="J594" s="108"/>
      <c r="K594" s="106"/>
      <c r="L594" s="107"/>
      <c r="M594" s="107"/>
      <c r="N594" s="106"/>
      <c r="O594" s="106"/>
      <c r="Q594" s="271"/>
      <c r="R594" s="16"/>
      <c r="S594" s="27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08"/>
      <c r="C595" s="170"/>
      <c r="D595" s="141"/>
      <c r="E595" s="109"/>
      <c r="F595" s="109"/>
      <c r="G595" s="108"/>
      <c r="H595" s="108"/>
      <c r="I595" s="190"/>
      <c r="J595" s="108"/>
      <c r="K595" s="106"/>
      <c r="L595" s="107"/>
      <c r="M595" s="107"/>
      <c r="N595" s="106"/>
      <c r="O595" s="106"/>
      <c r="Q595" s="271"/>
      <c r="R595" s="16"/>
      <c r="S595" s="27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08"/>
      <c r="C596" s="170"/>
      <c r="D596" s="141"/>
      <c r="E596" s="109"/>
      <c r="F596" s="109"/>
      <c r="G596" s="108"/>
      <c r="H596" s="108"/>
      <c r="I596" s="190"/>
      <c r="J596" s="108"/>
      <c r="K596" s="106"/>
      <c r="L596" s="107"/>
      <c r="M596" s="107"/>
      <c r="N596" s="106"/>
      <c r="O596" s="106"/>
      <c r="Q596" s="271"/>
      <c r="R596" s="16"/>
      <c r="S596" s="27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08"/>
      <c r="C597" s="170"/>
      <c r="D597" s="141"/>
      <c r="E597" s="109"/>
      <c r="F597" s="109"/>
      <c r="G597" s="108"/>
      <c r="H597" s="108"/>
      <c r="I597" s="190"/>
      <c r="J597" s="108"/>
      <c r="K597" s="106"/>
      <c r="L597" s="107"/>
      <c r="M597" s="107"/>
      <c r="N597" s="106"/>
      <c r="O597" s="106"/>
      <c r="Q597" s="271"/>
      <c r="R597" s="16"/>
      <c r="S597" s="27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08"/>
      <c r="C598" s="170"/>
      <c r="D598" s="141"/>
      <c r="E598" s="109"/>
      <c r="F598" s="109"/>
      <c r="G598" s="108"/>
      <c r="H598" s="108"/>
      <c r="I598" s="190"/>
      <c r="J598" s="108"/>
      <c r="K598" s="106"/>
      <c r="L598" s="107"/>
      <c r="M598" s="107"/>
      <c r="N598" s="106"/>
      <c r="O598" s="106"/>
      <c r="Q598" s="271"/>
      <c r="R598" s="16"/>
      <c r="S598" s="27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08"/>
      <c r="C599" s="170"/>
      <c r="D599" s="141"/>
      <c r="E599" s="109"/>
      <c r="F599" s="109"/>
      <c r="G599" s="108"/>
      <c r="H599" s="108"/>
      <c r="I599" s="190"/>
      <c r="J599" s="108"/>
      <c r="K599" s="106"/>
      <c r="L599" s="107"/>
      <c r="M599" s="107"/>
      <c r="N599" s="106"/>
      <c r="O599" s="106"/>
      <c r="Q599" s="271"/>
      <c r="R599" s="16"/>
      <c r="S599" s="27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08"/>
      <c r="C600" s="170"/>
      <c r="D600" s="141"/>
      <c r="E600" s="109"/>
      <c r="F600" s="109"/>
      <c r="G600" s="108"/>
      <c r="H600" s="108"/>
      <c r="I600" s="190"/>
      <c r="J600" s="108"/>
      <c r="K600" s="106"/>
      <c r="L600" s="107"/>
      <c r="M600" s="107"/>
      <c r="N600" s="106"/>
      <c r="O600" s="106"/>
      <c r="Q600" s="271"/>
      <c r="R600" s="16"/>
      <c r="S600" s="27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08"/>
      <c r="C601" s="170"/>
      <c r="D601" s="141"/>
      <c r="E601" s="109"/>
      <c r="F601" s="109"/>
      <c r="G601" s="108"/>
      <c r="H601" s="108"/>
      <c r="I601" s="190"/>
      <c r="J601" s="108"/>
      <c r="K601" s="106"/>
      <c r="L601" s="107"/>
      <c r="M601" s="107"/>
      <c r="N601" s="106"/>
      <c r="O601" s="106"/>
      <c r="Q601" s="271"/>
      <c r="R601" s="16"/>
      <c r="S601" s="27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08"/>
      <c r="C602" s="170"/>
      <c r="D602" s="141"/>
      <c r="E602" s="109"/>
      <c r="F602" s="109"/>
      <c r="G602" s="108"/>
      <c r="H602" s="108"/>
      <c r="I602" s="190"/>
      <c r="J602" s="108"/>
      <c r="K602" s="106"/>
      <c r="L602" s="107"/>
      <c r="M602" s="107"/>
      <c r="N602" s="106"/>
      <c r="O602" s="106"/>
      <c r="Q602" s="271"/>
      <c r="R602" s="16"/>
      <c r="S602" s="27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08"/>
      <c r="C603" s="170"/>
      <c r="D603" s="141"/>
      <c r="E603" s="109"/>
      <c r="F603" s="109"/>
      <c r="G603" s="108"/>
      <c r="H603" s="108"/>
      <c r="I603" s="190"/>
      <c r="J603" s="108"/>
      <c r="K603" s="106"/>
      <c r="L603" s="107"/>
      <c r="M603" s="107"/>
      <c r="N603" s="106"/>
      <c r="O603" s="106"/>
      <c r="Q603" s="271"/>
      <c r="R603" s="16"/>
      <c r="S603" s="27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08"/>
      <c r="C604" s="170"/>
      <c r="D604" s="141"/>
      <c r="E604" s="109"/>
      <c r="F604" s="109"/>
      <c r="G604" s="108"/>
      <c r="H604" s="108"/>
      <c r="I604" s="190"/>
      <c r="J604" s="108"/>
      <c r="K604" s="106"/>
      <c r="L604" s="107"/>
      <c r="M604" s="107"/>
      <c r="N604" s="106"/>
      <c r="O604" s="106"/>
      <c r="Q604" s="271"/>
      <c r="R604" s="16"/>
      <c r="S604" s="27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08"/>
      <c r="C605" s="170"/>
      <c r="D605" s="141"/>
      <c r="E605" s="109"/>
      <c r="F605" s="109"/>
      <c r="G605" s="108"/>
      <c r="H605" s="108"/>
      <c r="I605" s="190"/>
      <c r="J605" s="108"/>
      <c r="K605" s="106"/>
      <c r="L605" s="107"/>
      <c r="M605" s="107"/>
      <c r="N605" s="106"/>
      <c r="O605" s="106"/>
      <c r="Q605" s="271"/>
      <c r="R605" s="16"/>
      <c r="S605" s="27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08"/>
      <c r="C606" s="170"/>
      <c r="D606" s="141"/>
      <c r="E606" s="109"/>
      <c r="F606" s="109"/>
      <c r="G606" s="108"/>
      <c r="H606" s="108"/>
      <c r="I606" s="190"/>
      <c r="J606" s="108"/>
      <c r="K606" s="106"/>
      <c r="L606" s="107"/>
      <c r="M606" s="107"/>
      <c r="N606" s="106"/>
      <c r="O606" s="106"/>
      <c r="Q606" s="271"/>
      <c r="R606" s="16"/>
      <c r="S606" s="27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08"/>
      <c r="C607" s="170"/>
      <c r="D607" s="141"/>
      <c r="E607" s="109"/>
      <c r="F607" s="109"/>
      <c r="G607" s="108"/>
      <c r="H607" s="108"/>
      <c r="I607" s="190"/>
      <c r="J607" s="108"/>
      <c r="K607" s="106"/>
      <c r="L607" s="107"/>
      <c r="M607" s="107"/>
      <c r="N607" s="106"/>
      <c r="O607" s="106"/>
      <c r="Q607" s="271"/>
      <c r="R607" s="16"/>
      <c r="S607" s="27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08"/>
      <c r="C608" s="170"/>
      <c r="D608" s="141"/>
      <c r="E608" s="109"/>
      <c r="F608" s="109"/>
      <c r="G608" s="108"/>
      <c r="H608" s="108"/>
      <c r="I608" s="190"/>
      <c r="J608" s="108"/>
      <c r="K608" s="106"/>
      <c r="L608" s="107"/>
      <c r="M608" s="107"/>
      <c r="N608" s="106"/>
      <c r="O608" s="106"/>
      <c r="Q608" s="271"/>
      <c r="R608" s="16"/>
      <c r="S608" s="27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08"/>
      <c r="C609" s="170"/>
      <c r="D609" s="141"/>
      <c r="E609" s="109"/>
      <c r="F609" s="109"/>
      <c r="G609" s="108"/>
      <c r="H609" s="108"/>
      <c r="I609" s="190"/>
      <c r="J609" s="108"/>
      <c r="K609" s="106"/>
      <c r="L609" s="107"/>
      <c r="M609" s="107"/>
      <c r="N609" s="106"/>
      <c r="O609" s="106"/>
      <c r="Q609" s="271"/>
      <c r="R609" s="16"/>
      <c r="S609" s="27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08"/>
      <c r="C610" s="170"/>
      <c r="D610" s="141"/>
      <c r="E610" s="109"/>
      <c r="F610" s="109"/>
      <c r="G610" s="108"/>
      <c r="H610" s="108"/>
      <c r="I610" s="190"/>
      <c r="J610" s="108"/>
      <c r="K610" s="106"/>
      <c r="L610" s="107"/>
      <c r="M610" s="107"/>
      <c r="N610" s="106"/>
      <c r="O610" s="106"/>
      <c r="Q610" s="271"/>
      <c r="R610" s="16"/>
      <c r="S610" s="27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08"/>
      <c r="C611" s="170"/>
      <c r="D611" s="141"/>
      <c r="E611" s="109"/>
      <c r="F611" s="109"/>
      <c r="G611" s="108"/>
      <c r="H611" s="108"/>
      <c r="I611" s="190"/>
      <c r="J611" s="108"/>
      <c r="K611" s="106"/>
      <c r="L611" s="107"/>
      <c r="M611" s="107"/>
      <c r="N611" s="106"/>
      <c r="O611" s="106"/>
      <c r="Q611" s="271"/>
      <c r="R611" s="16"/>
      <c r="S611" s="27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08"/>
      <c r="C612" s="170"/>
      <c r="D612" s="141"/>
      <c r="E612" s="109"/>
      <c r="F612" s="109"/>
      <c r="G612" s="108"/>
      <c r="H612" s="108"/>
      <c r="I612" s="190"/>
      <c r="J612" s="108"/>
      <c r="K612" s="106"/>
      <c r="L612" s="107"/>
      <c r="M612" s="107"/>
      <c r="N612" s="106"/>
      <c r="O612" s="106"/>
      <c r="Q612" s="271"/>
      <c r="R612" s="16"/>
      <c r="S612" s="27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08"/>
      <c r="C613" s="170"/>
      <c r="D613" s="141"/>
      <c r="E613" s="109"/>
      <c r="F613" s="109"/>
      <c r="G613" s="108"/>
      <c r="H613" s="108"/>
      <c r="I613" s="190"/>
      <c r="J613" s="108"/>
      <c r="K613" s="106"/>
      <c r="L613" s="107"/>
      <c r="M613" s="107"/>
      <c r="N613" s="106"/>
      <c r="O613" s="106"/>
      <c r="Q613" s="271"/>
      <c r="R613" s="16"/>
      <c r="S613" s="27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08"/>
      <c r="C614" s="170"/>
      <c r="D614" s="141"/>
      <c r="E614" s="109"/>
      <c r="F614" s="109"/>
      <c r="G614" s="108"/>
      <c r="H614" s="108"/>
      <c r="I614" s="190"/>
      <c r="J614" s="108"/>
      <c r="K614" s="106"/>
      <c r="L614" s="107"/>
      <c r="M614" s="107"/>
      <c r="N614" s="106"/>
      <c r="O614" s="106"/>
      <c r="Q614" s="271"/>
      <c r="R614" s="16"/>
      <c r="S614" s="27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08"/>
      <c r="C615" s="170"/>
      <c r="D615" s="141"/>
      <c r="E615" s="109"/>
      <c r="F615" s="109"/>
      <c r="G615" s="108"/>
      <c r="H615" s="108"/>
      <c r="I615" s="190"/>
      <c r="J615" s="108"/>
      <c r="K615" s="106"/>
      <c r="L615" s="107"/>
      <c r="M615" s="107"/>
      <c r="N615" s="106"/>
      <c r="O615" s="106"/>
      <c r="Q615" s="271"/>
      <c r="R615" s="16"/>
      <c r="S615" s="27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08"/>
      <c r="C616" s="170"/>
      <c r="D616" s="141"/>
      <c r="E616" s="109"/>
      <c r="F616" s="109"/>
      <c r="G616" s="108"/>
      <c r="H616" s="108"/>
      <c r="I616" s="190"/>
      <c r="J616" s="108"/>
      <c r="K616" s="106"/>
      <c r="L616" s="107"/>
      <c r="M616" s="107"/>
      <c r="N616" s="106"/>
      <c r="O616" s="106"/>
      <c r="Q616" s="271"/>
      <c r="R616" s="16"/>
      <c r="S616" s="27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08"/>
      <c r="C617" s="170"/>
      <c r="D617" s="141"/>
      <c r="E617" s="109"/>
      <c r="F617" s="109"/>
      <c r="G617" s="108"/>
      <c r="H617" s="108"/>
      <c r="I617" s="190"/>
      <c r="J617" s="108"/>
      <c r="K617" s="106"/>
      <c r="L617" s="107"/>
      <c r="M617" s="107"/>
      <c r="N617" s="106"/>
      <c r="O617" s="106"/>
      <c r="Q617" s="271"/>
      <c r="R617" s="16"/>
      <c r="S617" s="27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08"/>
      <c r="C618" s="170"/>
      <c r="D618" s="141"/>
      <c r="E618" s="109"/>
      <c r="F618" s="109"/>
      <c r="G618" s="108"/>
      <c r="H618" s="108"/>
      <c r="I618" s="190"/>
      <c r="J618" s="108"/>
      <c r="K618" s="106"/>
      <c r="L618" s="107"/>
      <c r="M618" s="107"/>
      <c r="N618" s="106"/>
      <c r="O618" s="106"/>
      <c r="Q618" s="271"/>
      <c r="R618" s="16"/>
      <c r="S618" s="27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08"/>
      <c r="C619" s="170"/>
      <c r="D619" s="141"/>
      <c r="E619" s="109"/>
      <c r="F619" s="109"/>
      <c r="G619" s="108"/>
      <c r="H619" s="108"/>
      <c r="I619" s="190"/>
      <c r="J619" s="108"/>
      <c r="K619" s="106"/>
      <c r="L619" s="107"/>
      <c r="M619" s="107"/>
      <c r="N619" s="106"/>
      <c r="O619" s="106"/>
      <c r="Q619" s="271"/>
      <c r="R619" s="16"/>
      <c r="S619" s="27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08"/>
      <c r="C620" s="170"/>
      <c r="D620" s="141"/>
      <c r="E620" s="109"/>
      <c r="F620" s="109"/>
      <c r="G620" s="108"/>
      <c r="H620" s="108"/>
      <c r="I620" s="190"/>
      <c r="J620" s="108"/>
      <c r="K620" s="106"/>
      <c r="L620" s="107"/>
      <c r="M620" s="107"/>
      <c r="N620" s="106"/>
      <c r="O620" s="106"/>
      <c r="Q620" s="271"/>
      <c r="R620" s="16"/>
      <c r="S620" s="27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08"/>
      <c r="C621" s="170"/>
      <c r="D621" s="141"/>
      <c r="E621" s="109"/>
      <c r="F621" s="109"/>
      <c r="G621" s="108"/>
      <c r="H621" s="108"/>
      <c r="I621" s="190"/>
      <c r="J621" s="108"/>
      <c r="K621" s="106"/>
      <c r="L621" s="107"/>
      <c r="M621" s="107"/>
      <c r="N621" s="106"/>
      <c r="O621" s="106"/>
      <c r="Q621" s="271"/>
      <c r="R621" s="16"/>
      <c r="S621" s="27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08"/>
      <c r="C622" s="170"/>
      <c r="D622" s="141"/>
      <c r="E622" s="109"/>
      <c r="F622" s="109"/>
      <c r="G622" s="108"/>
      <c r="H622" s="108"/>
      <c r="I622" s="190"/>
      <c r="J622" s="108"/>
      <c r="K622" s="106"/>
      <c r="L622" s="107"/>
      <c r="M622" s="107"/>
      <c r="N622" s="106"/>
      <c r="O622" s="106"/>
      <c r="Q622" s="271"/>
      <c r="R622" s="16"/>
      <c r="S622" s="27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08"/>
      <c r="C623" s="170"/>
      <c r="D623" s="141"/>
      <c r="E623" s="109"/>
      <c r="F623" s="109"/>
      <c r="G623" s="108"/>
      <c r="H623" s="108"/>
      <c r="I623" s="190"/>
      <c r="J623" s="108"/>
      <c r="K623" s="106"/>
      <c r="L623" s="107"/>
      <c r="M623" s="107"/>
      <c r="N623" s="106"/>
      <c r="O623" s="106"/>
      <c r="Q623" s="271"/>
      <c r="R623" s="16"/>
      <c r="S623" s="27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08"/>
      <c r="C624" s="170"/>
      <c r="D624" s="141"/>
      <c r="E624" s="109"/>
      <c r="F624" s="109"/>
      <c r="G624" s="108"/>
      <c r="H624" s="108"/>
      <c r="I624" s="190"/>
      <c r="J624" s="108"/>
      <c r="K624" s="106"/>
      <c r="L624" s="107"/>
      <c r="M624" s="107"/>
      <c r="N624" s="106"/>
      <c r="O624" s="106"/>
      <c r="Q624" s="271"/>
      <c r="R624" s="16"/>
      <c r="S624" s="27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08"/>
      <c r="C625" s="170"/>
      <c r="D625" s="141"/>
      <c r="E625" s="109"/>
      <c r="F625" s="109"/>
      <c r="G625" s="108"/>
      <c r="H625" s="108"/>
      <c r="I625" s="190"/>
      <c r="J625" s="108"/>
      <c r="K625" s="106"/>
      <c r="L625" s="107"/>
      <c r="M625" s="107"/>
      <c r="N625" s="106"/>
      <c r="O625" s="106"/>
      <c r="Q625" s="271"/>
      <c r="R625" s="16"/>
      <c r="S625" s="27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08"/>
      <c r="C626" s="170"/>
      <c r="D626" s="141"/>
      <c r="E626" s="109"/>
      <c r="F626" s="109"/>
      <c r="G626" s="108"/>
      <c r="H626" s="108"/>
      <c r="I626" s="190"/>
      <c r="J626" s="108"/>
      <c r="K626" s="106"/>
      <c r="L626" s="107"/>
      <c r="M626" s="107"/>
      <c r="N626" s="106"/>
      <c r="O626" s="106"/>
      <c r="Q626" s="271"/>
      <c r="R626" s="16"/>
      <c r="S626" s="27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08"/>
      <c r="C627" s="170"/>
      <c r="D627" s="141"/>
      <c r="E627" s="109"/>
      <c r="F627" s="109"/>
      <c r="G627" s="108"/>
      <c r="H627" s="108"/>
      <c r="I627" s="190"/>
      <c r="J627" s="108"/>
      <c r="K627" s="106"/>
      <c r="L627" s="107"/>
      <c r="M627" s="107"/>
      <c r="N627" s="106"/>
      <c r="O627" s="106"/>
      <c r="Q627" s="271"/>
      <c r="R627" s="16"/>
      <c r="S627" s="27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08"/>
      <c r="C628" s="170"/>
      <c r="D628" s="141"/>
      <c r="E628" s="109"/>
      <c r="F628" s="109"/>
      <c r="G628" s="108"/>
      <c r="H628" s="108"/>
      <c r="I628" s="190"/>
      <c r="J628" s="108"/>
      <c r="K628" s="106"/>
      <c r="L628" s="107"/>
      <c r="M628" s="107"/>
      <c r="N628" s="106"/>
      <c r="O628" s="106"/>
      <c r="Q628" s="271"/>
      <c r="R628" s="16"/>
      <c r="S628" s="27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08"/>
      <c r="C629" s="170"/>
      <c r="D629" s="141"/>
      <c r="E629" s="109"/>
      <c r="F629" s="109"/>
      <c r="G629" s="108"/>
      <c r="H629" s="108"/>
      <c r="I629" s="190"/>
      <c r="J629" s="108"/>
      <c r="K629" s="106"/>
      <c r="L629" s="107"/>
      <c r="M629" s="107"/>
      <c r="N629" s="106"/>
      <c r="O629" s="106"/>
      <c r="Q629" s="271"/>
      <c r="R629" s="16"/>
      <c r="S629" s="27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08"/>
      <c r="C630" s="170"/>
      <c r="D630" s="141"/>
      <c r="E630" s="109"/>
      <c r="F630" s="109"/>
      <c r="G630" s="108"/>
      <c r="H630" s="108"/>
      <c r="I630" s="190"/>
      <c r="J630" s="108"/>
      <c r="K630" s="106"/>
      <c r="L630" s="107"/>
      <c r="M630" s="107"/>
      <c r="N630" s="106"/>
      <c r="O630" s="106"/>
      <c r="Q630" s="271"/>
      <c r="R630" s="16"/>
      <c r="S630" s="27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08"/>
      <c r="C631" s="170"/>
      <c r="D631" s="141"/>
      <c r="E631" s="109"/>
      <c r="F631" s="109"/>
      <c r="G631" s="108"/>
      <c r="H631" s="108"/>
      <c r="I631" s="190"/>
      <c r="J631" s="108"/>
      <c r="K631" s="106"/>
      <c r="L631" s="107"/>
      <c r="M631" s="107"/>
      <c r="N631" s="106"/>
      <c r="O631" s="106"/>
      <c r="Q631" s="271"/>
      <c r="R631" s="16"/>
      <c r="S631" s="27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08"/>
      <c r="C632" s="170"/>
      <c r="D632" s="141"/>
      <c r="E632" s="109"/>
      <c r="F632" s="109"/>
      <c r="G632" s="108"/>
      <c r="H632" s="108"/>
      <c r="I632" s="190"/>
      <c r="J632" s="108"/>
      <c r="K632" s="106"/>
      <c r="L632" s="107"/>
      <c r="M632" s="107"/>
      <c r="N632" s="106"/>
      <c r="O632" s="106"/>
      <c r="Q632" s="271"/>
      <c r="R632" s="16"/>
      <c r="S632" s="27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08"/>
      <c r="C633" s="170"/>
      <c r="D633" s="141"/>
      <c r="E633" s="109"/>
      <c r="F633" s="109"/>
      <c r="G633" s="108"/>
      <c r="H633" s="108"/>
      <c r="I633" s="190"/>
      <c r="J633" s="108"/>
      <c r="K633" s="106"/>
      <c r="L633" s="107"/>
      <c r="M633" s="107"/>
      <c r="N633" s="106"/>
      <c r="O633" s="106"/>
      <c r="Q633" s="271"/>
      <c r="R633" s="16"/>
      <c r="S633" s="27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08"/>
      <c r="C634" s="170"/>
      <c r="D634" s="141"/>
      <c r="E634" s="109"/>
      <c r="F634" s="109"/>
      <c r="G634" s="108"/>
      <c r="H634" s="108"/>
      <c r="I634" s="190"/>
      <c r="J634" s="108"/>
      <c r="K634" s="106"/>
      <c r="L634" s="107"/>
      <c r="M634" s="107"/>
      <c r="N634" s="106"/>
      <c r="O634" s="106"/>
      <c r="Q634" s="271"/>
      <c r="R634" s="16"/>
      <c r="S634" s="27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08"/>
      <c r="C635" s="170"/>
      <c r="D635" s="141"/>
      <c r="E635" s="109"/>
      <c r="F635" s="109"/>
      <c r="G635" s="108"/>
      <c r="H635" s="108"/>
      <c r="I635" s="190"/>
      <c r="J635" s="108"/>
      <c r="K635" s="106"/>
      <c r="L635" s="107"/>
      <c r="M635" s="107"/>
      <c r="N635" s="106"/>
      <c r="O635" s="106"/>
      <c r="Q635" s="271"/>
      <c r="R635" s="16"/>
      <c r="S635" s="27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08"/>
      <c r="C636" s="170"/>
      <c r="D636" s="141"/>
      <c r="E636" s="109"/>
      <c r="F636" s="109"/>
      <c r="G636" s="108"/>
      <c r="H636" s="108"/>
      <c r="I636" s="190"/>
      <c r="J636" s="108"/>
      <c r="K636" s="106"/>
      <c r="L636" s="107"/>
      <c r="M636" s="107"/>
      <c r="N636" s="106"/>
      <c r="O636" s="106"/>
      <c r="Q636" s="271"/>
      <c r="R636" s="16"/>
      <c r="S636" s="27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08"/>
      <c r="C637" s="170"/>
      <c r="D637" s="141"/>
      <c r="E637" s="109"/>
      <c r="F637" s="109"/>
      <c r="G637" s="108"/>
      <c r="H637" s="108"/>
      <c r="I637" s="190"/>
      <c r="J637" s="108"/>
      <c r="K637" s="106"/>
      <c r="L637" s="107"/>
      <c r="M637" s="107"/>
      <c r="N637" s="106"/>
      <c r="O637" s="106"/>
      <c r="Q637" s="271"/>
      <c r="R637" s="16"/>
      <c r="S637" s="27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08"/>
      <c r="C638" s="170"/>
      <c r="D638" s="141"/>
      <c r="E638" s="109"/>
      <c r="F638" s="109"/>
      <c r="G638" s="108"/>
      <c r="H638" s="108"/>
      <c r="I638" s="190"/>
      <c r="J638" s="108"/>
      <c r="K638" s="106"/>
      <c r="L638" s="107"/>
      <c r="M638" s="107"/>
      <c r="N638" s="106"/>
      <c r="O638" s="106"/>
      <c r="Q638" s="271"/>
      <c r="R638" s="16"/>
      <c r="S638" s="27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08"/>
      <c r="C639" s="170"/>
      <c r="D639" s="141"/>
      <c r="E639" s="109"/>
      <c r="F639" s="109"/>
      <c r="G639" s="108"/>
      <c r="H639" s="108"/>
      <c r="I639" s="190"/>
      <c r="J639" s="108"/>
      <c r="K639" s="106"/>
      <c r="L639" s="107"/>
      <c r="M639" s="107"/>
      <c r="N639" s="106"/>
      <c r="O639" s="106"/>
      <c r="Q639" s="271"/>
      <c r="R639" s="16"/>
      <c r="S639" s="27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08"/>
      <c r="C640" s="170"/>
      <c r="D640" s="141"/>
      <c r="E640" s="109"/>
      <c r="F640" s="109"/>
      <c r="G640" s="108"/>
      <c r="H640" s="108"/>
      <c r="I640" s="190"/>
      <c r="J640" s="108"/>
      <c r="K640" s="106"/>
      <c r="L640" s="107"/>
      <c r="M640" s="107"/>
      <c r="N640" s="106"/>
      <c r="O640" s="106"/>
      <c r="Q640" s="271"/>
      <c r="R640" s="16"/>
      <c r="S640" s="27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08"/>
      <c r="C641" s="170"/>
      <c r="D641" s="141"/>
      <c r="E641" s="109"/>
      <c r="F641" s="109"/>
      <c r="G641" s="108"/>
      <c r="H641" s="108"/>
      <c r="I641" s="190"/>
      <c r="J641" s="108"/>
      <c r="K641" s="106"/>
      <c r="L641" s="107"/>
      <c r="M641" s="107"/>
      <c r="N641" s="106"/>
      <c r="O641" s="106"/>
      <c r="Q641" s="271"/>
      <c r="R641" s="16"/>
      <c r="S641" s="27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08"/>
      <c r="C642" s="170"/>
      <c r="D642" s="141"/>
      <c r="E642" s="109"/>
      <c r="F642" s="109"/>
      <c r="G642" s="108"/>
      <c r="H642" s="108"/>
      <c r="I642" s="190"/>
      <c r="J642" s="108"/>
      <c r="K642" s="106"/>
      <c r="L642" s="107"/>
      <c r="M642" s="107"/>
      <c r="N642" s="106"/>
      <c r="O642" s="106"/>
      <c r="Q642" s="271"/>
      <c r="R642" s="16"/>
      <c r="S642" s="27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08"/>
      <c r="C643" s="170"/>
      <c r="D643" s="141"/>
      <c r="E643" s="109"/>
      <c r="F643" s="109"/>
      <c r="G643" s="108"/>
      <c r="H643" s="108"/>
      <c r="I643" s="190"/>
      <c r="J643" s="108"/>
      <c r="K643" s="106"/>
      <c r="L643" s="107"/>
      <c r="M643" s="107"/>
      <c r="N643" s="106"/>
      <c r="O643" s="106"/>
      <c r="Q643" s="271"/>
      <c r="R643" s="16"/>
      <c r="S643" s="27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08"/>
      <c r="C644" s="170"/>
      <c r="D644" s="141"/>
      <c r="E644" s="109"/>
      <c r="F644" s="109"/>
      <c r="G644" s="108"/>
      <c r="H644" s="108"/>
      <c r="I644" s="190"/>
      <c r="J644" s="108"/>
      <c r="K644" s="106"/>
      <c r="L644" s="107"/>
      <c r="M644" s="107"/>
      <c r="N644" s="106"/>
      <c r="O644" s="106"/>
      <c r="Q644" s="271"/>
      <c r="R644" s="16"/>
      <c r="S644" s="27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08"/>
      <c r="C645" s="170"/>
      <c r="D645" s="141"/>
      <c r="E645" s="109"/>
      <c r="F645" s="109"/>
      <c r="G645" s="108"/>
      <c r="H645" s="108"/>
      <c r="I645" s="190"/>
      <c r="J645" s="108"/>
      <c r="K645" s="106"/>
      <c r="L645" s="107"/>
      <c r="M645" s="107"/>
      <c r="N645" s="106"/>
      <c r="O645" s="106"/>
      <c r="Q645" s="271"/>
      <c r="R645" s="16"/>
      <c r="S645" s="27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08"/>
      <c r="C646" s="170"/>
      <c r="D646" s="141"/>
      <c r="E646" s="109"/>
      <c r="F646" s="109"/>
      <c r="G646" s="108"/>
      <c r="H646" s="108"/>
      <c r="I646" s="190"/>
      <c r="J646" s="108"/>
      <c r="K646" s="106"/>
      <c r="L646" s="107"/>
      <c r="M646" s="107"/>
      <c r="N646" s="106"/>
      <c r="O646" s="106"/>
      <c r="Q646" s="271"/>
      <c r="R646" s="16"/>
      <c r="S646" s="27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08"/>
      <c r="C647" s="170"/>
      <c r="D647" s="141"/>
      <c r="E647" s="109"/>
      <c r="F647" s="109"/>
      <c r="G647" s="108"/>
      <c r="H647" s="108"/>
      <c r="I647" s="190"/>
      <c r="J647" s="108"/>
      <c r="K647" s="106"/>
      <c r="L647" s="107"/>
      <c r="M647" s="107"/>
      <c r="N647" s="106"/>
      <c r="O647" s="106"/>
      <c r="Q647" s="271"/>
      <c r="R647" s="16"/>
      <c r="S647" s="27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08"/>
      <c r="C648" s="170"/>
      <c r="D648" s="141"/>
      <c r="E648" s="109"/>
      <c r="F648" s="109"/>
      <c r="G648" s="108"/>
      <c r="H648" s="108"/>
      <c r="I648" s="190"/>
      <c r="J648" s="108"/>
      <c r="K648" s="106"/>
      <c r="L648" s="107"/>
      <c r="M648" s="107"/>
      <c r="N648" s="106"/>
      <c r="O648" s="106"/>
      <c r="Q648" s="271"/>
      <c r="R648" s="16"/>
      <c r="S648" s="27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08"/>
      <c r="C649" s="170"/>
      <c r="D649" s="141"/>
      <c r="E649" s="109"/>
      <c r="F649" s="109"/>
      <c r="G649" s="108"/>
      <c r="H649" s="108"/>
      <c r="I649" s="190"/>
      <c r="J649" s="108"/>
      <c r="K649" s="106"/>
      <c r="L649" s="107"/>
      <c r="M649" s="107"/>
      <c r="N649" s="106"/>
      <c r="O649" s="106"/>
      <c r="Q649" s="271"/>
      <c r="R649" s="16"/>
      <c r="S649" s="27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08"/>
      <c r="C650" s="170"/>
      <c r="D650" s="141"/>
      <c r="E650" s="109"/>
      <c r="F650" s="109"/>
      <c r="G650" s="108"/>
      <c r="H650" s="108"/>
      <c r="I650" s="190"/>
      <c r="J650" s="108"/>
      <c r="K650" s="106"/>
      <c r="L650" s="107"/>
      <c r="M650" s="107"/>
      <c r="N650" s="106"/>
      <c r="O650" s="106"/>
      <c r="Q650" s="271"/>
      <c r="R650" s="16"/>
      <c r="S650" s="27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08"/>
      <c r="C651" s="170"/>
      <c r="D651" s="141"/>
      <c r="E651" s="109"/>
      <c r="F651" s="109"/>
      <c r="G651" s="108"/>
      <c r="H651" s="108"/>
      <c r="I651" s="190"/>
      <c r="J651" s="108"/>
      <c r="K651" s="106"/>
      <c r="L651" s="107"/>
      <c r="M651" s="107"/>
      <c r="N651" s="106"/>
      <c r="O651" s="106"/>
      <c r="Q651" s="271"/>
      <c r="R651" s="16"/>
      <c r="S651" s="27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08"/>
      <c r="C652" s="170"/>
      <c r="D652" s="141"/>
      <c r="E652" s="109"/>
      <c r="F652" s="109"/>
      <c r="G652" s="108"/>
      <c r="H652" s="108"/>
      <c r="I652" s="190"/>
      <c r="J652" s="108"/>
      <c r="K652" s="106"/>
      <c r="L652" s="107"/>
      <c r="M652" s="107"/>
      <c r="N652" s="106"/>
      <c r="O652" s="106"/>
      <c r="Q652" s="271"/>
      <c r="R652" s="16"/>
      <c r="S652" s="27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08"/>
      <c r="C653" s="170"/>
      <c r="D653" s="141"/>
      <c r="E653" s="109"/>
      <c r="F653" s="109"/>
      <c r="G653" s="108"/>
      <c r="H653" s="108"/>
      <c r="I653" s="190"/>
      <c r="J653" s="108"/>
      <c r="K653" s="106"/>
      <c r="L653" s="107"/>
      <c r="M653" s="107"/>
      <c r="N653" s="106"/>
      <c r="O653" s="106"/>
      <c r="Q653" s="271"/>
      <c r="R653" s="16"/>
      <c r="S653" s="27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08"/>
      <c r="C654" s="170"/>
      <c r="D654" s="141"/>
      <c r="E654" s="109"/>
      <c r="F654" s="109"/>
      <c r="G654" s="108"/>
      <c r="H654" s="108"/>
      <c r="I654" s="190"/>
      <c r="J654" s="108"/>
      <c r="K654" s="106"/>
      <c r="L654" s="107"/>
      <c r="M654" s="107"/>
      <c r="N654" s="106"/>
      <c r="O654" s="106"/>
      <c r="Q654" s="271"/>
      <c r="R654" s="16"/>
      <c r="S654" s="27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08"/>
      <c r="C655" s="170"/>
      <c r="D655" s="141"/>
      <c r="E655" s="109"/>
      <c r="F655" s="109"/>
      <c r="G655" s="108"/>
      <c r="H655" s="108"/>
      <c r="I655" s="190"/>
      <c r="J655" s="108"/>
      <c r="K655" s="106"/>
      <c r="L655" s="107"/>
      <c r="M655" s="107"/>
      <c r="N655" s="106"/>
      <c r="O655" s="106"/>
      <c r="Q655" s="271"/>
      <c r="R655" s="16"/>
      <c r="S655" s="27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08"/>
      <c r="C656" s="170"/>
      <c r="D656" s="141"/>
      <c r="E656" s="109"/>
      <c r="F656" s="109"/>
      <c r="G656" s="108"/>
      <c r="H656" s="108"/>
      <c r="I656" s="190"/>
      <c r="J656" s="108"/>
      <c r="K656" s="106"/>
      <c r="L656" s="107"/>
      <c r="M656" s="107"/>
      <c r="N656" s="106"/>
      <c r="O656" s="106"/>
      <c r="Q656" s="271"/>
      <c r="R656" s="16"/>
      <c r="S656" s="27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08"/>
      <c r="C657" s="170"/>
      <c r="D657" s="141"/>
      <c r="E657" s="109"/>
      <c r="F657" s="109"/>
      <c r="G657" s="108"/>
      <c r="H657" s="108"/>
      <c r="I657" s="190"/>
      <c r="J657" s="108"/>
      <c r="K657" s="106"/>
      <c r="L657" s="107"/>
      <c r="M657" s="107"/>
      <c r="N657" s="106"/>
      <c r="O657" s="106"/>
      <c r="Q657" s="271"/>
      <c r="R657" s="16"/>
      <c r="S657" s="27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08"/>
      <c r="C658" s="170"/>
      <c r="D658" s="141"/>
      <c r="E658" s="109"/>
      <c r="F658" s="109"/>
      <c r="G658" s="108"/>
      <c r="H658" s="108"/>
      <c r="I658" s="190"/>
      <c r="J658" s="108"/>
      <c r="K658" s="106"/>
      <c r="L658" s="107"/>
      <c r="M658" s="107"/>
      <c r="N658" s="106"/>
      <c r="O658" s="106"/>
      <c r="Q658" s="271"/>
      <c r="R658" s="16"/>
      <c r="S658" s="27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08"/>
      <c r="C659" s="170"/>
      <c r="D659" s="141"/>
      <c r="E659" s="109"/>
      <c r="F659" s="109"/>
      <c r="G659" s="108"/>
      <c r="H659" s="108"/>
      <c r="I659" s="190"/>
      <c r="J659" s="108"/>
      <c r="K659" s="106"/>
      <c r="L659" s="107"/>
      <c r="M659" s="107"/>
      <c r="N659" s="106"/>
      <c r="O659" s="106"/>
      <c r="Q659" s="271"/>
      <c r="R659" s="16"/>
      <c r="S659" s="27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08"/>
      <c r="C660" s="170"/>
      <c r="D660" s="141"/>
      <c r="E660" s="109"/>
      <c r="F660" s="109"/>
      <c r="G660" s="108"/>
      <c r="H660" s="108"/>
      <c r="I660" s="190"/>
      <c r="J660" s="108"/>
      <c r="K660" s="106"/>
      <c r="L660" s="107"/>
      <c r="M660" s="107"/>
      <c r="N660" s="106"/>
      <c r="O660" s="106"/>
      <c r="Q660" s="271"/>
      <c r="R660" s="16"/>
      <c r="S660" s="27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08"/>
      <c r="C661" s="170"/>
      <c r="D661" s="141"/>
      <c r="E661" s="109"/>
      <c r="F661" s="109"/>
      <c r="G661" s="108"/>
      <c r="H661" s="108"/>
      <c r="I661" s="190"/>
      <c r="J661" s="108"/>
      <c r="K661" s="106"/>
      <c r="L661" s="107"/>
      <c r="M661" s="107"/>
      <c r="N661" s="106"/>
      <c r="O661" s="106"/>
      <c r="Q661" s="271"/>
      <c r="R661" s="16"/>
      <c r="S661" s="27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08"/>
      <c r="C662" s="170"/>
      <c r="D662" s="141"/>
      <c r="E662" s="109"/>
      <c r="F662" s="109"/>
      <c r="G662" s="108"/>
      <c r="H662" s="108"/>
      <c r="I662" s="190"/>
      <c r="J662" s="108"/>
      <c r="K662" s="106"/>
      <c r="L662" s="107"/>
      <c r="M662" s="107"/>
      <c r="N662" s="106"/>
      <c r="O662" s="106"/>
      <c r="Q662" s="271"/>
      <c r="R662" s="16"/>
      <c r="S662" s="27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08"/>
      <c r="C663" s="170"/>
      <c r="D663" s="141"/>
      <c r="E663" s="109"/>
      <c r="F663" s="109"/>
      <c r="G663" s="108"/>
      <c r="H663" s="108"/>
      <c r="I663" s="190"/>
      <c r="J663" s="108"/>
      <c r="K663" s="106"/>
      <c r="L663" s="107"/>
      <c r="M663" s="107"/>
      <c r="N663" s="106"/>
      <c r="O663" s="106"/>
      <c r="Q663" s="271"/>
      <c r="R663" s="16"/>
      <c r="S663" s="27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08"/>
      <c r="C664" s="170"/>
      <c r="D664" s="141"/>
      <c r="E664" s="109"/>
      <c r="F664" s="109"/>
      <c r="G664" s="108"/>
      <c r="H664" s="108"/>
      <c r="I664" s="190"/>
      <c r="J664" s="108"/>
      <c r="K664" s="106"/>
      <c r="L664" s="107"/>
      <c r="M664" s="107"/>
      <c r="N664" s="106"/>
      <c r="O664" s="106"/>
      <c r="Q664" s="271"/>
      <c r="R664" s="16"/>
      <c r="S664" s="27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08"/>
      <c r="C665" s="170"/>
      <c r="D665" s="141"/>
      <c r="E665" s="109"/>
      <c r="F665" s="109"/>
      <c r="G665" s="108"/>
      <c r="H665" s="108"/>
      <c r="I665" s="190"/>
      <c r="J665" s="108"/>
      <c r="K665" s="106"/>
      <c r="L665" s="107"/>
      <c r="M665" s="107"/>
      <c r="N665" s="106"/>
      <c r="O665" s="106"/>
      <c r="Q665" s="271"/>
      <c r="R665" s="16"/>
      <c r="S665" s="27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08"/>
      <c r="C666" s="170"/>
      <c r="D666" s="141"/>
      <c r="E666" s="109"/>
      <c r="F666" s="109"/>
      <c r="G666" s="108"/>
      <c r="H666" s="108"/>
      <c r="I666" s="190"/>
      <c r="J666" s="108"/>
      <c r="K666" s="106"/>
      <c r="L666" s="107"/>
      <c r="M666" s="107"/>
      <c r="N666" s="106"/>
      <c r="O666" s="106"/>
      <c r="Q666" s="271"/>
      <c r="R666" s="16"/>
      <c r="S666" s="27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08"/>
      <c r="C667" s="170"/>
      <c r="D667" s="141"/>
      <c r="E667" s="109"/>
      <c r="F667" s="109"/>
      <c r="G667" s="108"/>
      <c r="H667" s="108"/>
      <c r="I667" s="190"/>
      <c r="J667" s="108"/>
      <c r="K667" s="106"/>
      <c r="L667" s="107"/>
      <c r="M667" s="107"/>
      <c r="N667" s="106"/>
      <c r="O667" s="106"/>
      <c r="Q667" s="271"/>
      <c r="R667" s="16"/>
      <c r="S667" s="27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08"/>
      <c r="C668" s="170"/>
      <c r="D668" s="141"/>
      <c r="E668" s="109"/>
      <c r="F668" s="109"/>
      <c r="G668" s="108"/>
      <c r="H668" s="108"/>
      <c r="I668" s="190"/>
      <c r="J668" s="108"/>
      <c r="K668" s="106"/>
      <c r="L668" s="107"/>
      <c r="M668" s="107"/>
      <c r="N668" s="106"/>
      <c r="O668" s="106"/>
      <c r="Q668" s="271"/>
      <c r="R668" s="16"/>
      <c r="S668" s="27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08"/>
      <c r="C669" s="170"/>
      <c r="D669" s="141"/>
      <c r="E669" s="109"/>
      <c r="F669" s="109"/>
      <c r="G669" s="108"/>
      <c r="H669" s="108"/>
      <c r="I669" s="190"/>
      <c r="J669" s="108"/>
      <c r="K669" s="106"/>
      <c r="L669" s="107"/>
      <c r="M669" s="107"/>
      <c r="N669" s="106"/>
      <c r="O669" s="106"/>
      <c r="Q669" s="271"/>
      <c r="R669" s="16"/>
      <c r="S669" s="27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08"/>
      <c r="C670" s="170"/>
      <c r="D670" s="141"/>
      <c r="E670" s="109"/>
      <c r="F670" s="109"/>
      <c r="G670" s="108"/>
      <c r="H670" s="108"/>
      <c r="I670" s="190"/>
      <c r="J670" s="108"/>
      <c r="K670" s="106"/>
      <c r="L670" s="107"/>
      <c r="M670" s="107"/>
      <c r="N670" s="106"/>
      <c r="O670" s="106"/>
      <c r="Q670" s="271"/>
      <c r="R670" s="16"/>
      <c r="S670" s="27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08"/>
      <c r="C671" s="170"/>
      <c r="D671" s="141"/>
      <c r="E671" s="109"/>
      <c r="F671" s="109"/>
      <c r="G671" s="108"/>
      <c r="H671" s="108"/>
      <c r="I671" s="190"/>
      <c r="J671" s="108"/>
      <c r="K671" s="106"/>
      <c r="L671" s="107"/>
      <c r="M671" s="107"/>
      <c r="N671" s="106"/>
      <c r="O671" s="106"/>
      <c r="Q671" s="271"/>
      <c r="R671" s="16"/>
      <c r="S671" s="27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08"/>
      <c r="C672" s="170"/>
      <c r="D672" s="141"/>
      <c r="E672" s="109"/>
      <c r="F672" s="109"/>
      <c r="G672" s="108"/>
      <c r="H672" s="108"/>
      <c r="I672" s="190"/>
      <c r="J672" s="108"/>
      <c r="K672" s="106"/>
      <c r="L672" s="107"/>
      <c r="M672" s="107"/>
      <c r="N672" s="106"/>
      <c r="O672" s="106"/>
      <c r="Q672" s="271"/>
      <c r="R672" s="16"/>
      <c r="S672" s="27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08"/>
      <c r="C673" s="170"/>
      <c r="D673" s="141"/>
      <c r="E673" s="109"/>
      <c r="F673" s="109"/>
      <c r="G673" s="108"/>
      <c r="H673" s="108"/>
      <c r="I673" s="190"/>
      <c r="J673" s="108"/>
      <c r="K673" s="106"/>
      <c r="L673" s="107"/>
      <c r="M673" s="107"/>
      <c r="N673" s="106"/>
      <c r="O673" s="106"/>
      <c r="Q673" s="271"/>
      <c r="R673" s="16"/>
      <c r="S673" s="27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08"/>
      <c r="C674" s="170"/>
      <c r="D674" s="141"/>
      <c r="E674" s="109"/>
      <c r="F674" s="109"/>
      <c r="G674" s="108"/>
      <c r="H674" s="108"/>
      <c r="I674" s="190"/>
      <c r="J674" s="108"/>
      <c r="K674" s="106"/>
      <c r="L674" s="107"/>
      <c r="M674" s="107"/>
      <c r="N674" s="106"/>
      <c r="O674" s="106"/>
      <c r="Q674" s="271"/>
      <c r="R674" s="16"/>
      <c r="S674" s="27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08"/>
      <c r="C675" s="170"/>
      <c r="D675" s="141"/>
      <c r="E675" s="109"/>
      <c r="F675" s="109"/>
      <c r="G675" s="108"/>
      <c r="H675" s="108"/>
      <c r="I675" s="190"/>
      <c r="J675" s="108"/>
      <c r="K675" s="106"/>
      <c r="L675" s="107"/>
      <c r="M675" s="107"/>
      <c r="N675" s="106"/>
      <c r="O675" s="106"/>
      <c r="Q675" s="271"/>
      <c r="R675" s="16"/>
      <c r="S675" s="27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08"/>
      <c r="C676" s="170"/>
      <c r="D676" s="141"/>
      <c r="E676" s="109"/>
      <c r="F676" s="109"/>
      <c r="G676" s="108"/>
      <c r="H676" s="108"/>
      <c r="I676" s="190"/>
      <c r="J676" s="108"/>
      <c r="K676" s="106"/>
      <c r="L676" s="107"/>
      <c r="M676" s="107"/>
      <c r="N676" s="106"/>
      <c r="O676" s="106"/>
      <c r="Q676" s="271"/>
      <c r="R676" s="16"/>
      <c r="S676" s="27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08"/>
      <c r="C677" s="170"/>
      <c r="D677" s="141"/>
      <c r="E677" s="109"/>
      <c r="F677" s="109"/>
      <c r="G677" s="108"/>
      <c r="H677" s="108"/>
      <c r="I677" s="190"/>
      <c r="J677" s="108"/>
      <c r="K677" s="106"/>
      <c r="L677" s="107"/>
      <c r="M677" s="107"/>
      <c r="N677" s="106"/>
      <c r="O677" s="106"/>
      <c r="Q677" s="271"/>
      <c r="R677" s="16"/>
      <c r="S677" s="27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08"/>
      <c r="C678" s="170"/>
      <c r="D678" s="141"/>
      <c r="E678" s="109"/>
      <c r="F678" s="109"/>
      <c r="G678" s="108"/>
      <c r="H678" s="108"/>
      <c r="I678" s="190"/>
      <c r="J678" s="108"/>
      <c r="K678" s="106"/>
      <c r="L678" s="107"/>
      <c r="M678" s="107"/>
      <c r="N678" s="106"/>
      <c r="O678" s="106"/>
      <c r="Q678" s="271"/>
      <c r="R678" s="16"/>
      <c r="S678" s="27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08"/>
      <c r="C679" s="170"/>
      <c r="D679" s="141"/>
      <c r="E679" s="109"/>
      <c r="F679" s="109"/>
      <c r="G679" s="108"/>
      <c r="H679" s="108"/>
      <c r="I679" s="190"/>
      <c r="J679" s="108"/>
      <c r="K679" s="106"/>
      <c r="L679" s="107"/>
      <c r="M679" s="107"/>
      <c r="N679" s="106"/>
      <c r="O679" s="106"/>
      <c r="Q679" s="271"/>
      <c r="R679" s="16"/>
      <c r="S679" s="27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08"/>
      <c r="C680" s="170"/>
      <c r="D680" s="141"/>
      <c r="E680" s="109"/>
      <c r="F680" s="109"/>
      <c r="G680" s="108"/>
      <c r="H680" s="108"/>
      <c r="I680" s="190"/>
      <c r="J680" s="108"/>
      <c r="K680" s="106"/>
      <c r="L680" s="107"/>
      <c r="M680" s="107"/>
      <c r="N680" s="106"/>
      <c r="O680" s="106"/>
      <c r="Q680" s="271"/>
      <c r="R680" s="16"/>
      <c r="S680" s="27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08"/>
      <c r="C681" s="170"/>
      <c r="D681" s="141"/>
      <c r="E681" s="109"/>
      <c r="F681" s="109"/>
      <c r="G681" s="108"/>
      <c r="H681" s="108"/>
      <c r="I681" s="190"/>
      <c r="J681" s="108"/>
      <c r="K681" s="106"/>
      <c r="L681" s="107"/>
      <c r="M681" s="107"/>
      <c r="N681" s="106"/>
      <c r="O681" s="106"/>
      <c r="Q681" s="271"/>
      <c r="R681" s="16"/>
      <c r="S681" s="27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08"/>
      <c r="C682" s="170"/>
      <c r="D682" s="141"/>
      <c r="E682" s="109"/>
      <c r="F682" s="109"/>
      <c r="G682" s="108"/>
      <c r="H682" s="108"/>
      <c r="I682" s="190"/>
      <c r="J682" s="108"/>
      <c r="K682" s="106"/>
      <c r="L682" s="107"/>
      <c r="M682" s="107"/>
      <c r="N682" s="106"/>
      <c r="O682" s="106"/>
      <c r="Q682" s="271"/>
      <c r="R682" s="16"/>
      <c r="S682" s="27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08"/>
      <c r="C683" s="170"/>
      <c r="D683" s="141"/>
      <c r="E683" s="109"/>
      <c r="F683" s="109"/>
      <c r="G683" s="108"/>
      <c r="H683" s="108"/>
      <c r="I683" s="190"/>
      <c r="J683" s="108"/>
      <c r="K683" s="106"/>
      <c r="L683" s="107"/>
      <c r="M683" s="107"/>
      <c r="N683" s="106"/>
      <c r="O683" s="106"/>
      <c r="Q683" s="271"/>
      <c r="R683" s="16"/>
      <c r="S683" s="27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08"/>
      <c r="C684" s="170"/>
      <c r="D684" s="141"/>
      <c r="E684" s="109"/>
      <c r="F684" s="109"/>
      <c r="G684" s="108"/>
      <c r="H684" s="108"/>
      <c r="I684" s="190"/>
      <c r="J684" s="108"/>
      <c r="K684" s="106"/>
      <c r="L684" s="107"/>
      <c r="M684" s="107"/>
      <c r="N684" s="106"/>
      <c r="O684" s="106"/>
      <c r="Q684" s="271"/>
      <c r="R684" s="16"/>
      <c r="S684" s="27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08"/>
      <c r="C685" s="170"/>
      <c r="D685" s="141"/>
      <c r="E685" s="109"/>
      <c r="F685" s="109"/>
      <c r="G685" s="108"/>
      <c r="H685" s="108"/>
      <c r="I685" s="190"/>
      <c r="J685" s="108"/>
      <c r="K685" s="106"/>
      <c r="L685" s="107"/>
      <c r="M685" s="107"/>
      <c r="N685" s="106"/>
      <c r="O685" s="106"/>
      <c r="Q685" s="271"/>
      <c r="R685" s="16"/>
      <c r="S685" s="27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08"/>
      <c r="C686" s="170"/>
      <c r="D686" s="141"/>
      <c r="E686" s="109"/>
      <c r="F686" s="109"/>
      <c r="G686" s="108"/>
      <c r="H686" s="108"/>
      <c r="I686" s="190"/>
      <c r="J686" s="108"/>
      <c r="K686" s="106"/>
      <c r="L686" s="107"/>
      <c r="M686" s="107"/>
      <c r="N686" s="106"/>
      <c r="O686" s="106"/>
      <c r="Q686" s="271"/>
      <c r="R686" s="16"/>
      <c r="S686" s="27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08"/>
      <c r="C687" s="170"/>
      <c r="D687" s="141"/>
      <c r="E687" s="109"/>
      <c r="F687" s="109"/>
      <c r="G687" s="108"/>
      <c r="H687" s="108"/>
      <c r="I687" s="190"/>
      <c r="J687" s="108"/>
      <c r="K687" s="106"/>
      <c r="L687" s="107"/>
      <c r="M687" s="107"/>
      <c r="N687" s="106"/>
      <c r="O687" s="106"/>
      <c r="Q687" s="271"/>
      <c r="R687" s="16"/>
      <c r="S687" s="27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08"/>
      <c r="C688" s="170"/>
      <c r="D688" s="141"/>
      <c r="E688" s="109"/>
      <c r="F688" s="109"/>
      <c r="G688" s="108"/>
      <c r="H688" s="108"/>
      <c r="I688" s="190"/>
      <c r="J688" s="108"/>
      <c r="K688" s="106"/>
      <c r="L688" s="107"/>
      <c r="M688" s="107"/>
      <c r="N688" s="106"/>
      <c r="O688" s="106"/>
      <c r="Q688" s="271"/>
      <c r="R688" s="16"/>
      <c r="S688" s="27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08"/>
      <c r="C689" s="170"/>
      <c r="D689" s="141"/>
      <c r="E689" s="109"/>
      <c r="F689" s="109"/>
      <c r="G689" s="108"/>
      <c r="H689" s="108"/>
      <c r="I689" s="190"/>
      <c r="J689" s="108"/>
      <c r="K689" s="106"/>
      <c r="L689" s="107"/>
      <c r="M689" s="107"/>
      <c r="N689" s="106"/>
      <c r="O689" s="106"/>
      <c r="Q689" s="271"/>
      <c r="R689" s="16"/>
      <c r="S689" s="27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08"/>
      <c r="C690" s="170"/>
      <c r="D690" s="141"/>
      <c r="E690" s="109"/>
      <c r="F690" s="109"/>
      <c r="G690" s="108"/>
      <c r="H690" s="108"/>
      <c r="I690" s="190"/>
      <c r="J690" s="108"/>
      <c r="K690" s="106"/>
      <c r="L690" s="107"/>
      <c r="M690" s="107"/>
      <c r="N690" s="106"/>
      <c r="O690" s="106"/>
      <c r="Q690" s="271"/>
      <c r="R690" s="16"/>
      <c r="S690" s="27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08"/>
      <c r="C691" s="170"/>
      <c r="D691" s="141"/>
      <c r="E691" s="109"/>
      <c r="F691" s="109"/>
      <c r="G691" s="108"/>
      <c r="H691" s="108"/>
      <c r="I691" s="190"/>
      <c r="J691" s="108"/>
      <c r="K691" s="106"/>
      <c r="L691" s="107"/>
      <c r="M691" s="107"/>
      <c r="N691" s="106"/>
      <c r="O691" s="106"/>
      <c r="Q691" s="271"/>
      <c r="R691" s="16"/>
      <c r="S691" s="27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08"/>
      <c r="C692" s="170"/>
      <c r="D692" s="141"/>
      <c r="E692" s="109"/>
      <c r="F692" s="109"/>
      <c r="G692" s="108"/>
      <c r="H692" s="108"/>
      <c r="I692" s="190"/>
      <c r="J692" s="108"/>
      <c r="K692" s="106"/>
      <c r="L692" s="107"/>
      <c r="M692" s="107"/>
      <c r="N692" s="106"/>
      <c r="O692" s="106"/>
      <c r="Q692" s="271"/>
      <c r="R692" s="16"/>
      <c r="S692" s="27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08"/>
      <c r="C693" s="170"/>
      <c r="D693" s="141"/>
      <c r="E693" s="109"/>
      <c r="F693" s="109"/>
      <c r="G693" s="108"/>
      <c r="H693" s="108"/>
      <c r="I693" s="190"/>
      <c r="J693" s="108"/>
      <c r="K693" s="106"/>
      <c r="L693" s="107"/>
      <c r="M693" s="107"/>
      <c r="N693" s="106"/>
      <c r="O693" s="106"/>
      <c r="Q693" s="271"/>
      <c r="R693" s="16"/>
      <c r="S693" s="27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08"/>
      <c r="C694" s="170"/>
      <c r="D694" s="141"/>
      <c r="E694" s="109"/>
      <c r="F694" s="109"/>
      <c r="G694" s="108"/>
      <c r="H694" s="108"/>
      <c r="I694" s="190"/>
      <c r="J694" s="108"/>
      <c r="K694" s="106"/>
      <c r="L694" s="107"/>
      <c r="M694" s="107"/>
      <c r="N694" s="106"/>
      <c r="O694" s="106"/>
      <c r="Q694" s="271"/>
      <c r="R694" s="16"/>
      <c r="S694" s="27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08"/>
      <c r="C695" s="170"/>
      <c r="D695" s="141"/>
      <c r="E695" s="109"/>
      <c r="F695" s="109"/>
      <c r="G695" s="108"/>
      <c r="H695" s="108"/>
      <c r="I695" s="190"/>
      <c r="J695" s="108"/>
      <c r="K695" s="106"/>
      <c r="L695" s="107"/>
      <c r="M695" s="107"/>
      <c r="N695" s="106"/>
      <c r="O695" s="106"/>
      <c r="Q695" s="271"/>
      <c r="R695" s="16"/>
      <c r="S695" s="27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08"/>
      <c r="C696" s="170"/>
      <c r="D696" s="141"/>
      <c r="E696" s="109"/>
      <c r="F696" s="109"/>
      <c r="G696" s="108"/>
      <c r="H696" s="108"/>
      <c r="I696" s="190"/>
      <c r="J696" s="108"/>
      <c r="K696" s="106"/>
      <c r="L696" s="107"/>
      <c r="M696" s="107"/>
      <c r="N696" s="106"/>
      <c r="O696" s="106"/>
      <c r="Q696" s="271"/>
      <c r="R696" s="16"/>
      <c r="S696" s="27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08"/>
      <c r="C697" s="170"/>
      <c r="D697" s="141"/>
      <c r="E697" s="109"/>
      <c r="F697" s="109"/>
      <c r="G697" s="108"/>
      <c r="H697" s="108"/>
      <c r="I697" s="190"/>
      <c r="J697" s="108"/>
      <c r="K697" s="106"/>
      <c r="L697" s="107"/>
      <c r="M697" s="107"/>
      <c r="N697" s="106"/>
      <c r="O697" s="106"/>
      <c r="Q697" s="271"/>
      <c r="R697" s="16"/>
      <c r="S697" s="27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08"/>
      <c r="C698" s="170"/>
      <c r="D698" s="141"/>
      <c r="E698" s="109"/>
      <c r="F698" s="109"/>
      <c r="G698" s="108"/>
      <c r="H698" s="108"/>
      <c r="I698" s="190"/>
      <c r="J698" s="108"/>
      <c r="K698" s="106"/>
      <c r="L698" s="107"/>
      <c r="M698" s="107"/>
      <c r="N698" s="106"/>
      <c r="O698" s="106"/>
      <c r="Q698" s="271"/>
      <c r="R698" s="16"/>
      <c r="S698" s="27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08"/>
      <c r="C699" s="170"/>
      <c r="D699" s="141"/>
      <c r="E699" s="109"/>
      <c r="F699" s="109"/>
      <c r="G699" s="108"/>
      <c r="H699" s="108"/>
      <c r="I699" s="190"/>
      <c r="J699" s="108"/>
      <c r="K699" s="106"/>
      <c r="L699" s="107"/>
      <c r="M699" s="107"/>
      <c r="N699" s="106"/>
      <c r="O699" s="106"/>
      <c r="Q699" s="271"/>
      <c r="R699" s="16"/>
      <c r="S699" s="27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08"/>
      <c r="C700" s="170"/>
      <c r="D700" s="141"/>
      <c r="E700" s="109"/>
      <c r="F700" s="109"/>
      <c r="G700" s="108"/>
      <c r="H700" s="108"/>
      <c r="I700" s="190"/>
      <c r="J700" s="108"/>
      <c r="K700" s="106"/>
      <c r="L700" s="107"/>
      <c r="M700" s="107"/>
      <c r="N700" s="106"/>
      <c r="O700" s="106"/>
      <c r="Q700" s="271"/>
      <c r="R700" s="16"/>
      <c r="S700" s="27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08"/>
      <c r="C701" s="170"/>
      <c r="D701" s="141"/>
      <c r="E701" s="109"/>
      <c r="F701" s="109"/>
      <c r="G701" s="108"/>
      <c r="H701" s="108"/>
      <c r="I701" s="190"/>
      <c r="J701" s="108"/>
      <c r="K701" s="106"/>
      <c r="L701" s="107"/>
      <c r="M701" s="107"/>
      <c r="N701" s="106"/>
      <c r="O701" s="106"/>
      <c r="Q701" s="271"/>
      <c r="R701" s="16"/>
      <c r="S701" s="27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08"/>
      <c r="C702" s="170"/>
      <c r="D702" s="141"/>
      <c r="E702" s="109"/>
      <c r="F702" s="109"/>
      <c r="G702" s="108"/>
      <c r="H702" s="108"/>
      <c r="I702" s="190"/>
      <c r="J702" s="108"/>
      <c r="K702" s="106"/>
      <c r="L702" s="107"/>
      <c r="M702" s="107"/>
      <c r="N702" s="106"/>
      <c r="O702" s="106"/>
      <c r="Q702" s="271"/>
      <c r="R702" s="16"/>
      <c r="S702" s="27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08"/>
      <c r="C703" s="170"/>
      <c r="D703" s="141"/>
      <c r="E703" s="109"/>
      <c r="F703" s="109"/>
      <c r="G703" s="108"/>
      <c r="H703" s="108"/>
      <c r="I703" s="190"/>
      <c r="J703" s="108"/>
      <c r="K703" s="106"/>
      <c r="L703" s="107"/>
      <c r="M703" s="107"/>
      <c r="N703" s="106"/>
      <c r="O703" s="106"/>
      <c r="Q703" s="271"/>
      <c r="R703" s="16"/>
      <c r="S703" s="27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08"/>
      <c r="C704" s="170"/>
      <c r="D704" s="141"/>
      <c r="E704" s="109"/>
      <c r="F704" s="109"/>
      <c r="G704" s="108"/>
      <c r="H704" s="108"/>
      <c r="I704" s="190"/>
      <c r="J704" s="108"/>
      <c r="K704" s="106"/>
      <c r="L704" s="107"/>
      <c r="M704" s="107"/>
      <c r="N704" s="106"/>
      <c r="O704" s="106"/>
      <c r="Q704" s="271"/>
      <c r="R704" s="16"/>
      <c r="S704" s="27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08"/>
      <c r="C705" s="170"/>
      <c r="D705" s="141"/>
      <c r="E705" s="109"/>
      <c r="F705" s="109"/>
      <c r="G705" s="108"/>
      <c r="H705" s="108"/>
      <c r="I705" s="190"/>
      <c r="J705" s="108"/>
      <c r="K705" s="106"/>
      <c r="L705" s="107"/>
      <c r="M705" s="107"/>
      <c r="N705" s="106"/>
      <c r="O705" s="106"/>
      <c r="Q705" s="271"/>
      <c r="R705" s="16"/>
      <c r="S705" s="27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08"/>
      <c r="C706" s="170"/>
      <c r="D706" s="141"/>
      <c r="E706" s="109"/>
      <c r="F706" s="109"/>
      <c r="G706" s="108"/>
      <c r="H706" s="108"/>
      <c r="I706" s="190"/>
      <c r="J706" s="108"/>
      <c r="K706" s="106"/>
      <c r="L706" s="107"/>
      <c r="M706" s="107"/>
      <c r="N706" s="106"/>
      <c r="O706" s="106"/>
      <c r="Q706" s="271"/>
      <c r="R706" s="16"/>
      <c r="S706" s="27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08"/>
      <c r="C707" s="170"/>
      <c r="D707" s="141"/>
      <c r="E707" s="109"/>
      <c r="F707" s="109"/>
      <c r="G707" s="108"/>
      <c r="H707" s="108"/>
      <c r="I707" s="190"/>
      <c r="J707" s="108"/>
      <c r="K707" s="106"/>
      <c r="L707" s="107"/>
      <c r="M707" s="107"/>
      <c r="N707" s="106"/>
      <c r="O707" s="106"/>
      <c r="Q707" s="271"/>
      <c r="R707" s="16"/>
      <c r="S707" s="27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08"/>
      <c r="C708" s="170"/>
      <c r="D708" s="141"/>
      <c r="E708" s="109"/>
      <c r="F708" s="109"/>
      <c r="G708" s="108"/>
      <c r="H708" s="108"/>
      <c r="I708" s="190"/>
      <c r="J708" s="108"/>
      <c r="K708" s="106"/>
      <c r="L708" s="107"/>
      <c r="M708" s="107"/>
      <c r="N708" s="106"/>
      <c r="O708" s="106"/>
      <c r="Q708" s="271"/>
      <c r="R708" s="16"/>
      <c r="S708" s="27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08"/>
      <c r="C709" s="170"/>
      <c r="D709" s="141"/>
      <c r="E709" s="109"/>
      <c r="F709" s="109"/>
      <c r="G709" s="108"/>
      <c r="H709" s="108"/>
      <c r="I709" s="190"/>
      <c r="J709" s="108"/>
      <c r="K709" s="106"/>
      <c r="L709" s="107"/>
      <c r="M709" s="107"/>
      <c r="N709" s="106"/>
      <c r="O709" s="106"/>
      <c r="Q709" s="271"/>
      <c r="R709" s="16"/>
      <c r="S709" s="27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08"/>
      <c r="C710" s="170"/>
      <c r="D710" s="141"/>
      <c r="E710" s="109"/>
      <c r="F710" s="109"/>
      <c r="G710" s="108"/>
      <c r="H710" s="108"/>
      <c r="I710" s="190"/>
      <c r="J710" s="108"/>
      <c r="K710" s="106"/>
      <c r="L710" s="107"/>
      <c r="M710" s="107"/>
      <c r="N710" s="106"/>
      <c r="O710" s="106"/>
      <c r="Q710" s="271"/>
      <c r="R710" s="16"/>
      <c r="S710" s="27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08"/>
      <c r="C711" s="170"/>
      <c r="D711" s="141"/>
      <c r="E711" s="109"/>
      <c r="F711" s="109"/>
      <c r="G711" s="108"/>
      <c r="H711" s="108"/>
      <c r="I711" s="190"/>
      <c r="J711" s="108"/>
      <c r="K711" s="106"/>
      <c r="L711" s="107"/>
      <c r="M711" s="107"/>
      <c r="N711" s="106"/>
      <c r="O711" s="106"/>
      <c r="Q711" s="271"/>
      <c r="R711" s="16"/>
      <c r="S711" s="27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08"/>
      <c r="C712" s="170"/>
      <c r="D712" s="141"/>
      <c r="E712" s="109"/>
      <c r="F712" s="109"/>
      <c r="G712" s="108"/>
      <c r="H712" s="108"/>
      <c r="I712" s="190"/>
      <c r="J712" s="108"/>
      <c r="K712" s="106"/>
      <c r="L712" s="107"/>
      <c r="M712" s="107"/>
      <c r="N712" s="106"/>
      <c r="O712" s="106"/>
      <c r="Q712" s="271"/>
      <c r="R712" s="16"/>
      <c r="S712" s="27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08"/>
      <c r="C713" s="170"/>
      <c r="D713" s="141"/>
      <c r="E713" s="109"/>
      <c r="F713" s="109"/>
      <c r="G713" s="108"/>
      <c r="H713" s="108"/>
      <c r="I713" s="190"/>
      <c r="J713" s="108"/>
      <c r="K713" s="106"/>
      <c r="L713" s="107"/>
      <c r="M713" s="107"/>
      <c r="N713" s="106"/>
      <c r="O713" s="106"/>
      <c r="Q713" s="271"/>
      <c r="R713" s="16"/>
      <c r="S713" s="27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08"/>
      <c r="C714" s="170"/>
      <c r="D714" s="141"/>
      <c r="E714" s="109"/>
      <c r="F714" s="109"/>
      <c r="G714" s="108"/>
      <c r="H714" s="108"/>
      <c r="I714" s="190"/>
      <c r="J714" s="108"/>
      <c r="K714" s="106"/>
      <c r="L714" s="107"/>
      <c r="M714" s="107"/>
      <c r="N714" s="106"/>
      <c r="O714" s="106"/>
      <c r="Q714" s="271"/>
      <c r="R714" s="16"/>
      <c r="S714" s="27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08"/>
      <c r="C715" s="170"/>
      <c r="D715" s="141"/>
      <c r="E715" s="109"/>
      <c r="F715" s="109"/>
      <c r="G715" s="108"/>
      <c r="H715" s="108"/>
      <c r="I715" s="190"/>
      <c r="J715" s="108"/>
      <c r="K715" s="106"/>
      <c r="L715" s="107"/>
      <c r="M715" s="107"/>
      <c r="N715" s="106"/>
      <c r="O715" s="106"/>
      <c r="Q715" s="271"/>
      <c r="R715" s="16"/>
      <c r="S715" s="27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08"/>
      <c r="C716" s="170"/>
      <c r="D716" s="141"/>
      <c r="E716" s="109"/>
      <c r="F716" s="109"/>
      <c r="G716" s="108"/>
      <c r="H716" s="108"/>
      <c r="I716" s="190"/>
      <c r="J716" s="108"/>
      <c r="K716" s="106"/>
      <c r="L716" s="107"/>
      <c r="M716" s="107"/>
      <c r="N716" s="106"/>
      <c r="O716" s="106"/>
      <c r="Q716" s="271"/>
      <c r="R716" s="16"/>
      <c r="S716" s="27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08"/>
      <c r="C717" s="170"/>
      <c r="D717" s="141"/>
      <c r="E717" s="109"/>
      <c r="F717" s="109"/>
      <c r="G717" s="108"/>
      <c r="H717" s="108"/>
      <c r="I717" s="190"/>
      <c r="J717" s="108"/>
      <c r="K717" s="106"/>
      <c r="L717" s="107"/>
      <c r="M717" s="107"/>
      <c r="N717" s="106"/>
      <c r="O717" s="106"/>
      <c r="Q717" s="271"/>
      <c r="R717" s="16"/>
      <c r="S717" s="27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08"/>
      <c r="C718" s="170"/>
      <c r="D718" s="141"/>
      <c r="E718" s="109"/>
      <c r="F718" s="109"/>
      <c r="G718" s="108"/>
      <c r="H718" s="108"/>
      <c r="I718" s="190"/>
      <c r="J718" s="108"/>
      <c r="K718" s="106"/>
      <c r="L718" s="107"/>
      <c r="M718" s="107"/>
      <c r="N718" s="106"/>
      <c r="O718" s="106"/>
      <c r="Q718" s="271"/>
      <c r="R718" s="16"/>
      <c r="S718" s="27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08"/>
      <c r="C719" s="170"/>
      <c r="D719" s="141"/>
      <c r="E719" s="109"/>
      <c r="F719" s="109"/>
      <c r="G719" s="108"/>
      <c r="H719" s="108"/>
      <c r="I719" s="190"/>
      <c r="J719" s="108"/>
      <c r="K719" s="106"/>
      <c r="L719" s="107"/>
      <c r="M719" s="107"/>
      <c r="N719" s="106"/>
      <c r="O719" s="106"/>
      <c r="Q719" s="271"/>
      <c r="R719" s="16"/>
      <c r="S719" s="27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08"/>
      <c r="C720" s="170"/>
      <c r="D720" s="141"/>
      <c r="E720" s="109"/>
      <c r="F720" s="109"/>
      <c r="G720" s="108"/>
      <c r="H720" s="108"/>
      <c r="I720" s="190"/>
      <c r="J720" s="108"/>
      <c r="K720" s="106"/>
      <c r="L720" s="107"/>
      <c r="M720" s="107"/>
      <c r="N720" s="106"/>
      <c r="O720" s="106"/>
      <c r="Q720" s="271"/>
      <c r="R720" s="16"/>
      <c r="S720" s="27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08"/>
      <c r="C721" s="170"/>
      <c r="D721" s="141"/>
      <c r="E721" s="109"/>
      <c r="F721" s="109"/>
      <c r="G721" s="108"/>
      <c r="H721" s="108"/>
      <c r="I721" s="190"/>
      <c r="J721" s="108"/>
      <c r="K721" s="106"/>
      <c r="L721" s="107"/>
      <c r="M721" s="107"/>
      <c r="N721" s="106"/>
      <c r="O721" s="106"/>
      <c r="Q721" s="271"/>
      <c r="R721" s="16"/>
      <c r="S721" s="27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08"/>
      <c r="C722" s="170"/>
      <c r="D722" s="141"/>
      <c r="E722" s="109"/>
      <c r="F722" s="109"/>
      <c r="G722" s="108"/>
      <c r="H722" s="108"/>
      <c r="I722" s="190"/>
      <c r="J722" s="108"/>
      <c r="K722" s="106"/>
      <c r="L722" s="107"/>
      <c r="M722" s="107"/>
      <c r="N722" s="106"/>
      <c r="O722" s="106"/>
      <c r="Q722" s="271"/>
      <c r="R722" s="16"/>
      <c r="S722" s="27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08"/>
      <c r="C723" s="170"/>
      <c r="D723" s="141"/>
      <c r="E723" s="109"/>
      <c r="F723" s="109"/>
      <c r="G723" s="108"/>
      <c r="H723" s="108"/>
      <c r="I723" s="190"/>
      <c r="J723" s="108"/>
      <c r="K723" s="106"/>
      <c r="L723" s="107"/>
      <c r="M723" s="107"/>
      <c r="N723" s="106"/>
      <c r="O723" s="106"/>
      <c r="Q723" s="271"/>
      <c r="R723" s="16"/>
      <c r="S723" s="27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08"/>
      <c r="C724" s="170"/>
      <c r="D724" s="141"/>
      <c r="E724" s="109"/>
      <c r="F724" s="109"/>
      <c r="G724" s="108"/>
      <c r="H724" s="108"/>
      <c r="I724" s="190"/>
      <c r="J724" s="108"/>
      <c r="K724" s="106"/>
      <c r="L724" s="107"/>
      <c r="M724" s="107"/>
      <c r="N724" s="106"/>
      <c r="O724" s="106"/>
      <c r="Q724" s="271"/>
      <c r="R724" s="16"/>
      <c r="S724" s="27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08"/>
      <c r="C725" s="170"/>
      <c r="D725" s="141"/>
      <c r="E725" s="109"/>
      <c r="F725" s="109"/>
      <c r="G725" s="108"/>
      <c r="H725" s="108"/>
      <c r="I725" s="190"/>
      <c r="J725" s="108"/>
      <c r="K725" s="106"/>
      <c r="L725" s="107"/>
      <c r="M725" s="107"/>
      <c r="N725" s="106"/>
      <c r="O725" s="106"/>
      <c r="Q725" s="271"/>
      <c r="R725" s="16"/>
      <c r="S725" s="27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08"/>
      <c r="C726" s="170"/>
      <c r="D726" s="141"/>
      <c r="E726" s="109"/>
      <c r="F726" s="109"/>
      <c r="G726" s="108"/>
      <c r="H726" s="108"/>
      <c r="I726" s="190"/>
      <c r="J726" s="108"/>
      <c r="K726" s="106"/>
      <c r="L726" s="107"/>
      <c r="M726" s="107"/>
      <c r="N726" s="106"/>
      <c r="O726" s="106"/>
      <c r="Q726" s="271"/>
      <c r="R726" s="16"/>
      <c r="S726" s="27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08"/>
      <c r="C727" s="170"/>
      <c r="D727" s="141"/>
      <c r="E727" s="109"/>
      <c r="F727" s="109"/>
      <c r="G727" s="108"/>
      <c r="H727" s="108"/>
      <c r="I727" s="190"/>
      <c r="J727" s="108"/>
      <c r="K727" s="106"/>
      <c r="L727" s="107"/>
      <c r="M727" s="107"/>
      <c r="N727" s="106"/>
      <c r="O727" s="106"/>
      <c r="Q727" s="271"/>
      <c r="R727" s="16"/>
      <c r="S727" s="27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08"/>
      <c r="C728" s="170"/>
      <c r="D728" s="141"/>
      <c r="E728" s="109"/>
      <c r="F728" s="109"/>
      <c r="G728" s="108"/>
      <c r="H728" s="108"/>
      <c r="I728" s="190"/>
      <c r="J728" s="108"/>
      <c r="K728" s="106"/>
      <c r="L728" s="107"/>
      <c r="M728" s="107"/>
      <c r="N728" s="106"/>
      <c r="O728" s="106"/>
      <c r="Q728" s="271"/>
      <c r="R728" s="16"/>
      <c r="S728" s="27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08"/>
      <c r="C729" s="170"/>
      <c r="D729" s="141"/>
      <c r="E729" s="109"/>
      <c r="F729" s="109"/>
      <c r="G729" s="108"/>
      <c r="H729" s="108"/>
      <c r="I729" s="190"/>
      <c r="J729" s="108"/>
      <c r="K729" s="106"/>
      <c r="L729" s="107"/>
      <c r="M729" s="107"/>
      <c r="N729" s="106"/>
      <c r="O729" s="106"/>
      <c r="Q729" s="271"/>
      <c r="R729" s="16"/>
      <c r="S729" s="27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08"/>
      <c r="C730" s="170"/>
      <c r="D730" s="141"/>
      <c r="E730" s="109"/>
      <c r="F730" s="109"/>
      <c r="G730" s="108"/>
      <c r="H730" s="108"/>
      <c r="I730" s="190"/>
      <c r="J730" s="108"/>
      <c r="K730" s="106"/>
      <c r="L730" s="107"/>
      <c r="M730" s="107"/>
      <c r="N730" s="106"/>
      <c r="O730" s="106"/>
      <c r="Q730" s="271"/>
      <c r="R730" s="16"/>
      <c r="S730" s="27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08"/>
      <c r="C731" s="170"/>
      <c r="D731" s="141"/>
      <c r="E731" s="109"/>
      <c r="F731" s="109"/>
      <c r="G731" s="108"/>
      <c r="H731" s="108"/>
      <c r="I731" s="190"/>
      <c r="J731" s="108"/>
      <c r="K731" s="106"/>
      <c r="L731" s="107"/>
      <c r="M731" s="107"/>
      <c r="N731" s="106"/>
      <c r="O731" s="106"/>
      <c r="Q731" s="271"/>
      <c r="R731" s="16"/>
      <c r="S731" s="27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08"/>
      <c r="C732" s="170"/>
      <c r="D732" s="141"/>
      <c r="E732" s="109"/>
      <c r="F732" s="109"/>
      <c r="G732" s="108"/>
      <c r="H732" s="108"/>
      <c r="I732" s="190"/>
      <c r="J732" s="108"/>
      <c r="K732" s="106"/>
      <c r="L732" s="107"/>
      <c r="M732" s="107"/>
      <c r="N732" s="106"/>
      <c r="O732" s="106"/>
      <c r="Q732" s="271"/>
      <c r="R732" s="16"/>
      <c r="S732" s="27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08"/>
      <c r="C733" s="170"/>
      <c r="D733" s="141"/>
      <c r="E733" s="109"/>
      <c r="F733" s="109"/>
      <c r="G733" s="108"/>
      <c r="H733" s="108"/>
      <c r="I733" s="190"/>
      <c r="J733" s="108"/>
      <c r="K733" s="106"/>
      <c r="L733" s="107"/>
      <c r="M733" s="107"/>
      <c r="N733" s="106"/>
      <c r="O733" s="106"/>
      <c r="Q733" s="271"/>
      <c r="R733" s="16"/>
      <c r="S733" s="27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08"/>
      <c r="C734" s="170"/>
      <c r="D734" s="141"/>
      <c r="E734" s="109"/>
      <c r="F734" s="109"/>
      <c r="G734" s="108"/>
      <c r="H734" s="108"/>
      <c r="I734" s="190"/>
      <c r="J734" s="108"/>
      <c r="K734" s="106"/>
      <c r="L734" s="107"/>
      <c r="M734" s="107"/>
      <c r="N734" s="106"/>
      <c r="O734" s="106"/>
      <c r="Q734" s="271"/>
      <c r="R734" s="16"/>
      <c r="S734" s="27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08"/>
      <c r="C735" s="170"/>
      <c r="D735" s="141"/>
      <c r="E735" s="109"/>
      <c r="F735" s="109"/>
      <c r="G735" s="108"/>
      <c r="H735" s="108"/>
      <c r="I735" s="190"/>
      <c r="J735" s="108"/>
      <c r="K735" s="106"/>
      <c r="L735" s="107"/>
      <c r="M735" s="107"/>
      <c r="N735" s="106"/>
      <c r="O735" s="106"/>
      <c r="Q735" s="271"/>
      <c r="R735" s="16"/>
      <c r="S735" s="27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08"/>
      <c r="C736" s="170"/>
      <c r="D736" s="141"/>
      <c r="E736" s="109"/>
      <c r="F736" s="109"/>
      <c r="G736" s="108"/>
      <c r="H736" s="108"/>
      <c r="I736" s="190"/>
      <c r="J736" s="108"/>
      <c r="K736" s="106"/>
      <c r="L736" s="107"/>
      <c r="M736" s="107"/>
      <c r="N736" s="106"/>
      <c r="O736" s="106"/>
      <c r="Q736" s="271"/>
      <c r="R736" s="16"/>
      <c r="S736" s="27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08"/>
      <c r="C737" s="170"/>
      <c r="D737" s="141"/>
      <c r="E737" s="109"/>
      <c r="F737" s="109"/>
      <c r="G737" s="108"/>
      <c r="H737" s="108"/>
      <c r="I737" s="190"/>
      <c r="J737" s="108"/>
      <c r="K737" s="106"/>
      <c r="L737" s="107"/>
      <c r="M737" s="107"/>
      <c r="N737" s="106"/>
      <c r="O737" s="106"/>
      <c r="Q737" s="271"/>
      <c r="R737" s="16"/>
      <c r="S737" s="27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08"/>
      <c r="C738" s="170"/>
      <c r="D738" s="141"/>
      <c r="E738" s="109"/>
      <c r="F738" s="109"/>
      <c r="G738" s="108"/>
      <c r="H738" s="108"/>
      <c r="I738" s="190"/>
      <c r="J738" s="108"/>
      <c r="K738" s="106"/>
      <c r="L738" s="107"/>
      <c r="M738" s="107"/>
      <c r="N738" s="106"/>
      <c r="O738" s="106"/>
      <c r="Q738" s="271"/>
      <c r="R738" s="16"/>
      <c r="S738" s="27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08"/>
      <c r="C739" s="170"/>
      <c r="D739" s="141"/>
      <c r="E739" s="109"/>
      <c r="F739" s="109"/>
      <c r="G739" s="108"/>
      <c r="H739" s="108"/>
      <c r="I739" s="190"/>
      <c r="J739" s="108"/>
      <c r="K739" s="106"/>
      <c r="L739" s="107"/>
      <c r="M739" s="107"/>
      <c r="N739" s="106"/>
      <c r="O739" s="106"/>
      <c r="Q739" s="271"/>
      <c r="R739" s="16"/>
      <c r="S739" s="27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08"/>
      <c r="C740" s="170"/>
      <c r="D740" s="141"/>
      <c r="E740" s="109"/>
      <c r="F740" s="109"/>
      <c r="G740" s="108"/>
      <c r="H740" s="108"/>
      <c r="I740" s="190"/>
      <c r="J740" s="108"/>
      <c r="K740" s="106"/>
      <c r="L740" s="107"/>
      <c r="M740" s="107"/>
      <c r="N740" s="106"/>
      <c r="O740" s="106"/>
      <c r="Q740" s="271"/>
      <c r="R740" s="16"/>
      <c r="S740" s="27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08"/>
      <c r="C741" s="170"/>
      <c r="D741" s="141"/>
      <c r="E741" s="109"/>
      <c r="F741" s="109"/>
      <c r="G741" s="108"/>
      <c r="H741" s="108"/>
      <c r="I741" s="190"/>
      <c r="J741" s="108"/>
      <c r="K741" s="106"/>
      <c r="L741" s="107"/>
      <c r="M741" s="107"/>
      <c r="N741" s="106"/>
      <c r="O741" s="106"/>
      <c r="Q741" s="271"/>
      <c r="R741" s="16"/>
      <c r="S741" s="27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08"/>
      <c r="C742" s="170"/>
      <c r="D742" s="141"/>
      <c r="E742" s="109"/>
      <c r="F742" s="109"/>
      <c r="G742" s="108"/>
      <c r="H742" s="108"/>
      <c r="I742" s="190"/>
      <c r="J742" s="108"/>
      <c r="K742" s="106"/>
      <c r="L742" s="107"/>
      <c r="M742" s="107"/>
      <c r="N742" s="106"/>
      <c r="O742" s="106"/>
      <c r="Q742" s="271"/>
      <c r="R742" s="16"/>
      <c r="S742" s="27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08"/>
      <c r="C743" s="170"/>
      <c r="D743" s="141"/>
      <c r="E743" s="109"/>
      <c r="F743" s="109"/>
      <c r="G743" s="108"/>
      <c r="H743" s="108"/>
      <c r="I743" s="190"/>
      <c r="J743" s="108"/>
      <c r="K743" s="106"/>
      <c r="L743" s="107"/>
      <c r="M743" s="107"/>
      <c r="N743" s="106"/>
      <c r="O743" s="106"/>
      <c r="Q743" s="271"/>
      <c r="R743" s="16"/>
      <c r="S743" s="27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08"/>
      <c r="C744" s="170"/>
      <c r="D744" s="141"/>
      <c r="E744" s="109"/>
      <c r="F744" s="109"/>
      <c r="G744" s="108"/>
      <c r="H744" s="108"/>
      <c r="I744" s="190"/>
      <c r="J744" s="108"/>
      <c r="K744" s="106"/>
      <c r="L744" s="107"/>
      <c r="M744" s="107"/>
      <c r="N744" s="106"/>
      <c r="O744" s="106"/>
      <c r="Q744" s="271"/>
      <c r="R744" s="16"/>
      <c r="S744" s="27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08"/>
      <c r="C745" s="170"/>
      <c r="D745" s="141"/>
      <c r="E745" s="109"/>
      <c r="F745" s="109"/>
      <c r="G745" s="108"/>
      <c r="H745" s="108"/>
      <c r="I745" s="190"/>
      <c r="J745" s="108"/>
      <c r="K745" s="106"/>
      <c r="L745" s="107"/>
      <c r="M745" s="107"/>
      <c r="N745" s="106"/>
      <c r="O745" s="106"/>
      <c r="Q745" s="271"/>
      <c r="R745" s="16"/>
      <c r="S745" s="27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08"/>
      <c r="C746" s="170"/>
      <c r="D746" s="141"/>
      <c r="E746" s="109"/>
      <c r="F746" s="109"/>
      <c r="G746" s="108"/>
      <c r="H746" s="108"/>
      <c r="I746" s="190"/>
      <c r="J746" s="108"/>
      <c r="K746" s="106"/>
      <c r="L746" s="107"/>
      <c r="M746" s="107"/>
      <c r="N746" s="106"/>
      <c r="O746" s="106"/>
      <c r="Q746" s="271"/>
      <c r="R746" s="16"/>
      <c r="S746" s="27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08"/>
      <c r="C747" s="170"/>
      <c r="D747" s="141"/>
      <c r="E747" s="109"/>
      <c r="F747" s="109"/>
      <c r="G747" s="108"/>
      <c r="H747" s="108"/>
      <c r="I747" s="190"/>
      <c r="J747" s="108"/>
      <c r="K747" s="106"/>
      <c r="L747" s="107"/>
      <c r="M747" s="107"/>
      <c r="N747" s="106"/>
      <c r="O747" s="106"/>
      <c r="Q747" s="271"/>
      <c r="R747" s="16"/>
      <c r="S747" s="27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08"/>
      <c r="C748" s="170"/>
      <c r="D748" s="141"/>
      <c r="E748" s="109"/>
      <c r="F748" s="109"/>
      <c r="G748" s="108"/>
      <c r="H748" s="108"/>
      <c r="I748" s="190"/>
      <c r="J748" s="108"/>
      <c r="K748" s="106"/>
      <c r="L748" s="107"/>
      <c r="M748" s="107"/>
      <c r="N748" s="106"/>
      <c r="O748" s="106"/>
      <c r="Q748" s="271"/>
      <c r="R748" s="16"/>
      <c r="S748" s="27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08"/>
      <c r="C749" s="170"/>
      <c r="D749" s="141"/>
      <c r="E749" s="109"/>
      <c r="F749" s="109"/>
      <c r="G749" s="108"/>
      <c r="H749" s="108"/>
      <c r="I749" s="190"/>
      <c r="J749" s="108"/>
      <c r="K749" s="106"/>
      <c r="L749" s="107"/>
      <c r="M749" s="107"/>
      <c r="N749" s="106"/>
      <c r="O749" s="106"/>
      <c r="Q749" s="271"/>
      <c r="R749" s="16"/>
      <c r="S749" s="27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08"/>
      <c r="C750" s="170"/>
      <c r="D750" s="141"/>
      <c r="E750" s="109"/>
      <c r="F750" s="109"/>
      <c r="G750" s="108"/>
      <c r="H750" s="108"/>
      <c r="I750" s="190"/>
      <c r="J750" s="108"/>
      <c r="K750" s="106"/>
      <c r="L750" s="107"/>
      <c r="M750" s="107"/>
      <c r="N750" s="106"/>
      <c r="O750" s="106"/>
      <c r="Q750" s="271"/>
      <c r="R750" s="16"/>
      <c r="S750" s="27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08"/>
      <c r="C751" s="170"/>
      <c r="D751" s="141"/>
      <c r="E751" s="109"/>
      <c r="F751" s="109"/>
      <c r="G751" s="108"/>
      <c r="H751" s="108"/>
      <c r="I751" s="190"/>
      <c r="J751" s="108"/>
      <c r="K751" s="106"/>
      <c r="L751" s="107"/>
      <c r="M751" s="107"/>
      <c r="N751" s="106"/>
      <c r="O751" s="106"/>
      <c r="Q751" s="271"/>
      <c r="R751" s="16"/>
      <c r="S751" s="27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08"/>
      <c r="C752" s="170"/>
      <c r="D752" s="141"/>
      <c r="E752" s="109"/>
      <c r="F752" s="109"/>
      <c r="G752" s="108"/>
      <c r="H752" s="108"/>
      <c r="I752" s="190"/>
      <c r="J752" s="108"/>
      <c r="K752" s="106"/>
      <c r="L752" s="107"/>
      <c r="M752" s="107"/>
      <c r="N752" s="106"/>
      <c r="O752" s="106"/>
      <c r="Q752" s="271"/>
      <c r="R752" s="16"/>
      <c r="S752" s="27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08"/>
      <c r="C753" s="170"/>
      <c r="D753" s="141"/>
      <c r="E753" s="109"/>
      <c r="F753" s="109"/>
      <c r="G753" s="108"/>
      <c r="H753" s="108"/>
      <c r="I753" s="190"/>
      <c r="J753" s="108"/>
      <c r="K753" s="106"/>
      <c r="L753" s="107"/>
      <c r="M753" s="107"/>
      <c r="N753" s="106"/>
      <c r="O753" s="106"/>
      <c r="Q753" s="271"/>
      <c r="R753" s="16"/>
      <c r="S753" s="27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08"/>
      <c r="C754" s="170"/>
      <c r="D754" s="141"/>
      <c r="E754" s="109"/>
      <c r="F754" s="109"/>
      <c r="G754" s="108"/>
      <c r="H754" s="108"/>
      <c r="I754" s="190"/>
      <c r="J754" s="108"/>
      <c r="K754" s="106"/>
      <c r="L754" s="107"/>
      <c r="M754" s="107"/>
      <c r="N754" s="106"/>
      <c r="O754" s="106"/>
      <c r="Q754" s="271"/>
      <c r="R754" s="16"/>
      <c r="S754" s="27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08"/>
      <c r="C755" s="170"/>
      <c r="D755" s="141"/>
      <c r="E755" s="109"/>
      <c r="F755" s="109"/>
      <c r="G755" s="108"/>
      <c r="H755" s="108"/>
      <c r="I755" s="190"/>
      <c r="J755" s="108"/>
      <c r="K755" s="106"/>
      <c r="L755" s="107"/>
      <c r="M755" s="107"/>
      <c r="N755" s="106"/>
      <c r="O755" s="106"/>
      <c r="Q755" s="271"/>
      <c r="R755" s="16"/>
      <c r="S755" s="27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08"/>
      <c r="C756" s="170"/>
      <c r="D756" s="141"/>
      <c r="E756" s="109"/>
      <c r="F756" s="109"/>
      <c r="G756" s="108"/>
      <c r="H756" s="108"/>
      <c r="I756" s="190"/>
      <c r="J756" s="108"/>
      <c r="K756" s="106"/>
      <c r="L756" s="107"/>
      <c r="M756" s="107"/>
      <c r="N756" s="106"/>
      <c r="O756" s="106"/>
      <c r="Q756" s="271"/>
      <c r="R756" s="16"/>
      <c r="S756" s="27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08"/>
      <c r="C757" s="170"/>
      <c r="D757" s="141"/>
      <c r="E757" s="109"/>
      <c r="F757" s="109"/>
      <c r="G757" s="108"/>
      <c r="H757" s="108"/>
      <c r="I757" s="190"/>
      <c r="J757" s="108"/>
      <c r="K757" s="106"/>
      <c r="L757" s="107"/>
      <c r="M757" s="107"/>
      <c r="N757" s="106"/>
      <c r="O757" s="106"/>
      <c r="Q757" s="271"/>
      <c r="R757" s="16"/>
      <c r="S757" s="27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08"/>
      <c r="C758" s="170"/>
      <c r="D758" s="141"/>
      <c r="E758" s="109"/>
      <c r="F758" s="109"/>
      <c r="G758" s="108"/>
      <c r="H758" s="108"/>
      <c r="I758" s="190"/>
      <c r="J758" s="108"/>
      <c r="K758" s="106"/>
      <c r="L758" s="107"/>
      <c r="M758" s="107"/>
      <c r="N758" s="106"/>
      <c r="O758" s="106"/>
      <c r="Q758" s="271"/>
      <c r="R758" s="16"/>
      <c r="S758" s="27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08"/>
      <c r="C759" s="170"/>
      <c r="D759" s="141"/>
      <c r="E759" s="109"/>
      <c r="F759" s="109"/>
      <c r="G759" s="108"/>
      <c r="H759" s="108"/>
      <c r="I759" s="190"/>
      <c r="J759" s="108"/>
      <c r="K759" s="106"/>
      <c r="L759" s="107"/>
      <c r="M759" s="107"/>
      <c r="N759" s="106"/>
      <c r="O759" s="106"/>
      <c r="Q759" s="271"/>
      <c r="R759" s="16"/>
      <c r="S759" s="27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08"/>
      <c r="C760" s="170"/>
      <c r="D760" s="141"/>
      <c r="E760" s="109"/>
      <c r="F760" s="109"/>
      <c r="G760" s="108"/>
      <c r="H760" s="108"/>
      <c r="I760" s="190"/>
      <c r="J760" s="108"/>
      <c r="K760" s="106"/>
      <c r="L760" s="107"/>
      <c r="M760" s="107"/>
      <c r="N760" s="106"/>
      <c r="O760" s="106"/>
      <c r="Q760" s="271"/>
      <c r="R760" s="16"/>
      <c r="S760" s="27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08"/>
      <c r="C761" s="170"/>
      <c r="D761" s="141"/>
      <c r="E761" s="109"/>
      <c r="F761" s="109"/>
      <c r="G761" s="108"/>
      <c r="H761" s="108"/>
      <c r="I761" s="190"/>
      <c r="J761" s="108"/>
      <c r="K761" s="106"/>
      <c r="L761" s="107"/>
      <c r="M761" s="107"/>
      <c r="N761" s="106"/>
      <c r="O761" s="106"/>
      <c r="Q761" s="271"/>
      <c r="R761" s="16"/>
      <c r="S761" s="27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08"/>
      <c r="C762" s="170"/>
      <c r="D762" s="141"/>
      <c r="E762" s="109"/>
      <c r="F762" s="109"/>
      <c r="G762" s="108"/>
      <c r="H762" s="108"/>
      <c r="I762" s="190"/>
      <c r="J762" s="108"/>
      <c r="K762" s="106"/>
      <c r="L762" s="107"/>
      <c r="M762" s="107"/>
      <c r="N762" s="106"/>
      <c r="O762" s="106"/>
      <c r="Q762" s="271"/>
      <c r="R762" s="16"/>
      <c r="S762" s="27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08"/>
      <c r="C763" s="170"/>
      <c r="D763" s="141"/>
      <c r="E763" s="109"/>
      <c r="F763" s="109"/>
      <c r="G763" s="108"/>
      <c r="H763" s="108"/>
      <c r="I763" s="190"/>
      <c r="J763" s="108"/>
      <c r="K763" s="106"/>
      <c r="L763" s="107"/>
      <c r="M763" s="107"/>
      <c r="N763" s="106"/>
      <c r="O763" s="106"/>
      <c r="Q763" s="271"/>
      <c r="R763" s="16"/>
      <c r="S763" s="27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08"/>
      <c r="C764" s="170"/>
      <c r="D764" s="141"/>
      <c r="E764" s="109"/>
      <c r="F764" s="109"/>
      <c r="G764" s="108"/>
      <c r="H764" s="108"/>
      <c r="I764" s="190"/>
      <c r="J764" s="108"/>
      <c r="K764" s="106"/>
      <c r="L764" s="107"/>
      <c r="M764" s="107"/>
      <c r="N764" s="106"/>
      <c r="O764" s="106"/>
      <c r="Q764" s="271"/>
      <c r="R764" s="16"/>
      <c r="S764" s="27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08"/>
      <c r="C765" s="170"/>
      <c r="D765" s="141"/>
      <c r="E765" s="109"/>
      <c r="F765" s="109"/>
      <c r="G765" s="108"/>
      <c r="H765" s="108"/>
      <c r="I765" s="190"/>
      <c r="J765" s="108"/>
      <c r="K765" s="106"/>
      <c r="L765" s="107"/>
      <c r="M765" s="107"/>
      <c r="N765" s="106"/>
      <c r="O765" s="106"/>
      <c r="Q765" s="271"/>
      <c r="R765" s="16"/>
      <c r="S765" s="27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08"/>
      <c r="C766" s="170"/>
      <c r="D766" s="141"/>
      <c r="E766" s="109"/>
      <c r="F766" s="109"/>
      <c r="G766" s="108"/>
      <c r="H766" s="108"/>
      <c r="I766" s="190"/>
      <c r="J766" s="108"/>
      <c r="K766" s="106"/>
      <c r="L766" s="107"/>
      <c r="M766" s="107"/>
      <c r="N766" s="106"/>
      <c r="O766" s="106"/>
      <c r="Q766" s="271"/>
      <c r="R766" s="16"/>
      <c r="S766" s="27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08"/>
      <c r="C767" s="170"/>
      <c r="D767" s="141"/>
      <c r="E767" s="109"/>
      <c r="F767" s="109"/>
      <c r="G767" s="108"/>
      <c r="H767" s="108"/>
      <c r="I767" s="190"/>
      <c r="J767" s="108"/>
      <c r="K767" s="106"/>
      <c r="L767" s="107"/>
      <c r="M767" s="107"/>
      <c r="N767" s="106"/>
      <c r="O767" s="106"/>
      <c r="Q767" s="271"/>
      <c r="R767" s="16"/>
      <c r="S767" s="27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08"/>
      <c r="C768" s="170"/>
      <c r="D768" s="141"/>
      <c r="E768" s="109"/>
      <c r="F768" s="109"/>
      <c r="G768" s="108"/>
      <c r="H768" s="108"/>
      <c r="I768" s="190"/>
      <c r="J768" s="108"/>
      <c r="K768" s="106"/>
      <c r="L768" s="107"/>
      <c r="M768" s="107"/>
      <c r="N768" s="106"/>
      <c r="O768" s="106"/>
      <c r="Q768" s="271"/>
      <c r="R768" s="16"/>
      <c r="S768" s="27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08"/>
      <c r="C769" s="170"/>
      <c r="D769" s="141"/>
      <c r="E769" s="109"/>
      <c r="F769" s="109"/>
      <c r="G769" s="108"/>
      <c r="H769" s="108"/>
      <c r="I769" s="190"/>
      <c r="J769" s="108"/>
      <c r="K769" s="106"/>
      <c r="L769" s="107"/>
      <c r="M769" s="107"/>
      <c r="N769" s="106"/>
      <c r="O769" s="106"/>
      <c r="Q769" s="271"/>
      <c r="R769" s="16"/>
      <c r="S769" s="27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08"/>
      <c r="C770" s="170"/>
      <c r="D770" s="141"/>
      <c r="E770" s="109"/>
      <c r="F770" s="109"/>
      <c r="G770" s="108"/>
      <c r="H770" s="108"/>
      <c r="I770" s="190"/>
      <c r="J770" s="108"/>
      <c r="K770" s="106"/>
      <c r="L770" s="107"/>
      <c r="M770" s="107"/>
      <c r="N770" s="106"/>
      <c r="O770" s="106"/>
      <c r="Q770" s="271"/>
      <c r="R770" s="16"/>
      <c r="S770" s="27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08"/>
      <c r="C771" s="170"/>
      <c r="D771" s="141"/>
      <c r="E771" s="109"/>
      <c r="F771" s="109"/>
      <c r="G771" s="108"/>
      <c r="H771" s="108"/>
      <c r="I771" s="190"/>
      <c r="J771" s="108"/>
      <c r="K771" s="106"/>
      <c r="L771" s="107"/>
      <c r="M771" s="107"/>
      <c r="N771" s="106"/>
      <c r="O771" s="106"/>
      <c r="Q771" s="271"/>
      <c r="R771" s="16"/>
      <c r="S771" s="27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08"/>
      <c r="C772" s="170"/>
      <c r="D772" s="141"/>
      <c r="E772" s="109"/>
      <c r="F772" s="109"/>
      <c r="G772" s="108"/>
      <c r="H772" s="108"/>
      <c r="I772" s="190"/>
      <c r="J772" s="108"/>
      <c r="K772" s="106"/>
      <c r="L772" s="107"/>
      <c r="M772" s="107"/>
      <c r="N772" s="106"/>
      <c r="O772" s="106"/>
      <c r="Q772" s="271"/>
      <c r="R772" s="16"/>
      <c r="S772" s="27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08"/>
      <c r="C773" s="170"/>
      <c r="D773" s="141"/>
      <c r="E773" s="109"/>
      <c r="F773" s="109"/>
      <c r="G773" s="108"/>
      <c r="H773" s="108"/>
      <c r="I773" s="190"/>
      <c r="J773" s="108"/>
      <c r="K773" s="106"/>
      <c r="L773" s="107"/>
      <c r="M773" s="107"/>
      <c r="N773" s="106"/>
      <c r="O773" s="106"/>
      <c r="Q773" s="271"/>
      <c r="R773" s="16"/>
      <c r="S773" s="27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08"/>
      <c r="C774" s="170"/>
      <c r="D774" s="141"/>
      <c r="E774" s="109"/>
      <c r="F774" s="109"/>
      <c r="G774" s="108"/>
      <c r="H774" s="108"/>
      <c r="I774" s="190"/>
      <c r="J774" s="108"/>
      <c r="K774" s="106"/>
      <c r="L774" s="107"/>
      <c r="M774" s="107"/>
      <c r="N774" s="106"/>
      <c r="O774" s="106"/>
      <c r="Q774" s="271"/>
      <c r="R774" s="16"/>
      <c r="S774" s="27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08"/>
      <c r="C775" s="170"/>
      <c r="D775" s="141"/>
      <c r="E775" s="109"/>
      <c r="F775" s="109"/>
      <c r="G775" s="108"/>
      <c r="H775" s="108"/>
      <c r="I775" s="190"/>
      <c r="J775" s="108"/>
      <c r="K775" s="106"/>
      <c r="L775" s="107"/>
      <c r="M775" s="107"/>
      <c r="N775" s="106"/>
      <c r="O775" s="106"/>
      <c r="Q775" s="271"/>
      <c r="R775" s="16"/>
      <c r="S775" s="27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08"/>
      <c r="C776" s="170"/>
      <c r="D776" s="141"/>
      <c r="E776" s="109"/>
      <c r="F776" s="109"/>
      <c r="G776" s="108"/>
      <c r="H776" s="108"/>
      <c r="I776" s="190"/>
      <c r="J776" s="108"/>
      <c r="K776" s="106"/>
      <c r="L776" s="107"/>
      <c r="M776" s="107"/>
      <c r="N776" s="106"/>
      <c r="O776" s="106"/>
      <c r="Q776" s="271"/>
      <c r="R776" s="16"/>
      <c r="S776" s="27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08"/>
      <c r="C777" s="170"/>
      <c r="D777" s="141"/>
      <c r="E777" s="109"/>
      <c r="F777" s="109"/>
      <c r="G777" s="108"/>
      <c r="H777" s="108"/>
      <c r="I777" s="190"/>
      <c r="J777" s="108"/>
      <c r="K777" s="106"/>
      <c r="L777" s="107"/>
      <c r="M777" s="107"/>
      <c r="N777" s="106"/>
      <c r="O777" s="106"/>
      <c r="Q777" s="271"/>
      <c r="R777" s="16"/>
      <c r="S777" s="27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08"/>
      <c r="C778" s="170"/>
      <c r="D778" s="141"/>
      <c r="E778" s="109"/>
      <c r="F778" s="109"/>
      <c r="G778" s="108"/>
      <c r="H778" s="108"/>
      <c r="I778" s="190"/>
      <c r="J778" s="108"/>
      <c r="K778" s="106"/>
      <c r="L778" s="107"/>
      <c r="M778" s="107"/>
      <c r="N778" s="106"/>
      <c r="O778" s="106"/>
      <c r="Q778" s="271"/>
      <c r="R778" s="16"/>
      <c r="S778" s="27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08"/>
      <c r="C779" s="170"/>
      <c r="D779" s="141"/>
      <c r="E779" s="109"/>
      <c r="F779" s="109"/>
      <c r="G779" s="108"/>
      <c r="H779" s="108"/>
      <c r="I779" s="190"/>
      <c r="J779" s="108"/>
      <c r="K779" s="106"/>
      <c r="L779" s="107"/>
      <c r="M779" s="107"/>
      <c r="N779" s="106"/>
      <c r="O779" s="106"/>
      <c r="Q779" s="271"/>
      <c r="R779" s="16"/>
      <c r="S779" s="27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08"/>
      <c r="C780" s="170"/>
      <c r="D780" s="141"/>
      <c r="E780" s="109"/>
      <c r="F780" s="109"/>
      <c r="G780" s="108"/>
      <c r="H780" s="108"/>
      <c r="I780" s="190"/>
      <c r="J780" s="108"/>
      <c r="K780" s="106"/>
      <c r="L780" s="107"/>
      <c r="M780" s="107"/>
      <c r="N780" s="106"/>
      <c r="O780" s="106"/>
      <c r="Q780" s="271"/>
      <c r="R780" s="16"/>
      <c r="S780" s="27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08"/>
      <c r="C781" s="170"/>
      <c r="D781" s="141"/>
      <c r="E781" s="109"/>
      <c r="F781" s="109"/>
      <c r="G781" s="108"/>
      <c r="H781" s="108"/>
      <c r="I781" s="190"/>
      <c r="J781" s="108"/>
      <c r="K781" s="106"/>
      <c r="L781" s="107"/>
      <c r="M781" s="107"/>
      <c r="N781" s="106"/>
      <c r="O781" s="106"/>
      <c r="Q781" s="271"/>
      <c r="R781" s="16"/>
      <c r="S781" s="27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08"/>
      <c r="C782" s="170"/>
      <c r="D782" s="141"/>
      <c r="E782" s="109"/>
      <c r="F782" s="109"/>
      <c r="G782" s="108"/>
      <c r="H782" s="108"/>
      <c r="I782" s="190"/>
      <c r="J782" s="108"/>
      <c r="K782" s="106"/>
      <c r="L782" s="107"/>
      <c r="M782" s="107"/>
      <c r="N782" s="106"/>
      <c r="O782" s="106"/>
      <c r="Q782" s="271"/>
      <c r="R782" s="16"/>
      <c r="S782" s="27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08"/>
      <c r="C783" s="170"/>
      <c r="D783" s="141"/>
      <c r="E783" s="109"/>
      <c r="F783" s="109"/>
      <c r="G783" s="108"/>
      <c r="H783" s="108"/>
      <c r="I783" s="190"/>
      <c r="J783" s="108"/>
      <c r="K783" s="106"/>
      <c r="L783" s="107"/>
      <c r="M783" s="107"/>
      <c r="N783" s="106"/>
      <c r="O783" s="106"/>
      <c r="Q783" s="271"/>
      <c r="R783" s="16"/>
      <c r="S783" s="27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08"/>
      <c r="C784" s="170"/>
      <c r="D784" s="141"/>
      <c r="E784" s="109"/>
      <c r="F784" s="109"/>
      <c r="G784" s="108"/>
      <c r="H784" s="108"/>
      <c r="I784" s="190"/>
      <c r="J784" s="108"/>
      <c r="K784" s="106"/>
      <c r="L784" s="107"/>
      <c r="M784" s="107"/>
      <c r="N784" s="106"/>
      <c r="O784" s="106"/>
      <c r="Q784" s="271"/>
      <c r="R784" s="16"/>
      <c r="S784" s="27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08"/>
      <c r="C785" s="170"/>
      <c r="D785" s="141"/>
      <c r="E785" s="109"/>
      <c r="F785" s="109"/>
      <c r="G785" s="108"/>
      <c r="H785" s="108"/>
      <c r="I785" s="190"/>
      <c r="J785" s="108"/>
      <c r="K785" s="106"/>
      <c r="L785" s="107"/>
      <c r="M785" s="107"/>
      <c r="N785" s="106"/>
      <c r="O785" s="106"/>
      <c r="Q785" s="271"/>
      <c r="R785" s="16"/>
      <c r="S785" s="27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08"/>
      <c r="C786" s="170"/>
      <c r="D786" s="141"/>
      <c r="E786" s="109"/>
      <c r="F786" s="109"/>
      <c r="G786" s="108"/>
      <c r="H786" s="108"/>
      <c r="I786" s="190"/>
      <c r="J786" s="108"/>
      <c r="K786" s="106"/>
      <c r="L786" s="107"/>
      <c r="M786" s="107"/>
      <c r="N786" s="106"/>
      <c r="O786" s="106"/>
      <c r="Q786" s="271"/>
      <c r="R786" s="16"/>
      <c r="S786" s="27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08"/>
      <c r="C787" s="170"/>
      <c r="D787" s="141"/>
      <c r="E787" s="109"/>
      <c r="F787" s="109"/>
      <c r="G787" s="108"/>
      <c r="H787" s="108"/>
      <c r="I787" s="190"/>
      <c r="J787" s="108"/>
      <c r="K787" s="106"/>
      <c r="L787" s="107"/>
      <c r="M787" s="107"/>
      <c r="N787" s="106"/>
      <c r="O787" s="106"/>
      <c r="Q787" s="271"/>
      <c r="R787" s="16"/>
      <c r="S787" s="27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08"/>
      <c r="C788" s="170"/>
      <c r="D788" s="141"/>
      <c r="E788" s="109"/>
      <c r="F788" s="109"/>
      <c r="G788" s="108"/>
      <c r="H788" s="108"/>
      <c r="I788" s="190"/>
      <c r="J788" s="108"/>
      <c r="K788" s="106"/>
      <c r="L788" s="107"/>
      <c r="M788" s="107"/>
      <c r="N788" s="106"/>
      <c r="O788" s="106"/>
      <c r="Q788" s="271"/>
      <c r="R788" s="16"/>
      <c r="S788" s="27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08"/>
      <c r="C789" s="170"/>
      <c r="D789" s="141"/>
      <c r="E789" s="109"/>
      <c r="F789" s="109"/>
      <c r="G789" s="108"/>
      <c r="H789" s="108"/>
      <c r="I789" s="190"/>
      <c r="J789" s="108"/>
      <c r="K789" s="106"/>
      <c r="L789" s="107"/>
      <c r="M789" s="107"/>
      <c r="N789" s="106"/>
      <c r="O789" s="106"/>
      <c r="Q789" s="271"/>
      <c r="R789" s="16"/>
      <c r="S789" s="27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08"/>
      <c r="C790" s="170"/>
      <c r="D790" s="141"/>
      <c r="E790" s="109"/>
      <c r="F790" s="109"/>
      <c r="G790" s="108"/>
      <c r="H790" s="108"/>
      <c r="I790" s="190"/>
      <c r="J790" s="108"/>
      <c r="K790" s="106"/>
      <c r="L790" s="107"/>
      <c r="M790" s="107"/>
      <c r="N790" s="106"/>
      <c r="O790" s="106"/>
      <c r="Q790" s="271"/>
      <c r="R790" s="16"/>
      <c r="S790" s="27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08"/>
      <c r="C791" s="170"/>
      <c r="D791" s="141"/>
      <c r="E791" s="109"/>
      <c r="F791" s="109"/>
      <c r="G791" s="108"/>
      <c r="H791" s="108"/>
      <c r="I791" s="190"/>
      <c r="J791" s="108"/>
      <c r="K791" s="106"/>
      <c r="L791" s="107"/>
      <c r="M791" s="107"/>
      <c r="N791" s="106"/>
      <c r="O791" s="106"/>
      <c r="Q791" s="271"/>
      <c r="R791" s="16"/>
      <c r="S791" s="27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08"/>
      <c r="C792" s="170"/>
      <c r="D792" s="141"/>
      <c r="E792" s="109"/>
      <c r="F792" s="109"/>
      <c r="G792" s="108"/>
      <c r="H792" s="108"/>
      <c r="I792" s="190"/>
      <c r="J792" s="108"/>
      <c r="K792" s="106"/>
      <c r="L792" s="107"/>
      <c r="M792" s="107"/>
      <c r="N792" s="106"/>
      <c r="O792" s="106"/>
      <c r="Q792" s="271"/>
      <c r="R792" s="16"/>
      <c r="S792" s="27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08"/>
      <c r="C793" s="170"/>
      <c r="D793" s="141"/>
      <c r="E793" s="109"/>
      <c r="F793" s="109"/>
      <c r="G793" s="108"/>
      <c r="H793" s="108"/>
      <c r="I793" s="190"/>
      <c r="J793" s="108"/>
      <c r="K793" s="106"/>
      <c r="L793" s="107"/>
      <c r="M793" s="107"/>
      <c r="N793" s="106"/>
      <c r="O793" s="106"/>
      <c r="Q793" s="271"/>
      <c r="R793" s="16"/>
      <c r="S793" s="27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08"/>
      <c r="C794" s="170"/>
      <c r="D794" s="141"/>
      <c r="E794" s="109"/>
      <c r="F794" s="109"/>
      <c r="G794" s="108"/>
      <c r="H794" s="108"/>
      <c r="I794" s="190"/>
      <c r="J794" s="108"/>
      <c r="K794" s="106"/>
      <c r="L794" s="107"/>
      <c r="M794" s="107"/>
      <c r="N794" s="106"/>
      <c r="O794" s="106"/>
      <c r="Q794" s="271"/>
      <c r="R794" s="16"/>
      <c r="S794" s="27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08"/>
      <c r="C795" s="170"/>
      <c r="D795" s="141"/>
      <c r="E795" s="109"/>
      <c r="F795" s="109"/>
      <c r="G795" s="108"/>
      <c r="H795" s="108"/>
      <c r="I795" s="190"/>
      <c r="J795" s="108"/>
      <c r="K795" s="106"/>
      <c r="L795" s="107"/>
      <c r="M795" s="107"/>
      <c r="N795" s="106"/>
      <c r="O795" s="106"/>
      <c r="Q795" s="271"/>
      <c r="R795" s="16"/>
      <c r="S795" s="27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08"/>
      <c r="C796" s="170"/>
      <c r="D796" s="141"/>
      <c r="E796" s="109"/>
      <c r="F796" s="109"/>
      <c r="G796" s="108"/>
      <c r="H796" s="108"/>
      <c r="I796" s="190"/>
      <c r="J796" s="108"/>
      <c r="K796" s="106"/>
      <c r="L796" s="107"/>
      <c r="M796" s="107"/>
      <c r="N796" s="106"/>
      <c r="O796" s="106"/>
      <c r="Q796" s="271"/>
      <c r="R796" s="16"/>
      <c r="S796" s="27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08"/>
      <c r="C797" s="170"/>
      <c r="D797" s="141"/>
      <c r="E797" s="109"/>
      <c r="F797" s="109"/>
      <c r="G797" s="108"/>
      <c r="H797" s="108"/>
      <c r="I797" s="190"/>
      <c r="J797" s="108"/>
      <c r="K797" s="106"/>
      <c r="L797" s="107"/>
      <c r="M797" s="107"/>
      <c r="N797" s="106"/>
      <c r="O797" s="106"/>
      <c r="Q797" s="271"/>
      <c r="R797" s="16"/>
      <c r="S797" s="27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08"/>
      <c r="C798" s="170"/>
      <c r="D798" s="141"/>
      <c r="E798" s="109"/>
      <c r="F798" s="109"/>
      <c r="G798" s="108"/>
      <c r="H798" s="108"/>
      <c r="I798" s="190"/>
      <c r="J798" s="108"/>
      <c r="K798" s="106"/>
      <c r="L798" s="107"/>
      <c r="M798" s="107"/>
      <c r="N798" s="106"/>
      <c r="O798" s="106"/>
      <c r="Q798" s="271"/>
      <c r="R798" s="16"/>
      <c r="S798" s="27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08"/>
      <c r="C799" s="170"/>
      <c r="D799" s="141"/>
      <c r="E799" s="109"/>
      <c r="F799" s="109"/>
      <c r="G799" s="108"/>
      <c r="H799" s="108"/>
      <c r="I799" s="190"/>
      <c r="J799" s="108"/>
      <c r="K799" s="106"/>
      <c r="L799" s="107"/>
      <c r="M799" s="107"/>
      <c r="N799" s="106"/>
      <c r="O799" s="106"/>
      <c r="Q799" s="271"/>
      <c r="R799" s="16"/>
      <c r="S799" s="27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08"/>
      <c r="C800" s="170"/>
      <c r="D800" s="141"/>
      <c r="E800" s="109"/>
      <c r="F800" s="109"/>
      <c r="G800" s="108"/>
      <c r="H800" s="108"/>
      <c r="I800" s="190"/>
      <c r="J800" s="108"/>
      <c r="K800" s="106"/>
      <c r="L800" s="107"/>
      <c r="M800" s="107"/>
      <c r="N800" s="106"/>
      <c r="O800" s="106"/>
      <c r="Q800" s="271"/>
      <c r="R800" s="16"/>
      <c r="S800" s="27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08"/>
      <c r="C801" s="170"/>
      <c r="D801" s="141"/>
      <c r="E801" s="109"/>
      <c r="F801" s="109"/>
      <c r="G801" s="108"/>
      <c r="H801" s="108"/>
      <c r="I801" s="190"/>
      <c r="J801" s="108"/>
      <c r="K801" s="106"/>
      <c r="L801" s="107"/>
      <c r="M801" s="107"/>
      <c r="N801" s="106"/>
      <c r="O801" s="106"/>
      <c r="Q801" s="271"/>
      <c r="R801" s="16"/>
      <c r="S801" s="27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08"/>
      <c r="C802" s="170"/>
      <c r="D802" s="141"/>
      <c r="E802" s="109"/>
      <c r="F802" s="109"/>
      <c r="G802" s="108"/>
      <c r="H802" s="108"/>
      <c r="I802" s="190"/>
      <c r="J802" s="108"/>
      <c r="K802" s="106"/>
      <c r="L802" s="107"/>
      <c r="M802" s="107"/>
      <c r="N802" s="106"/>
      <c r="O802" s="106"/>
      <c r="Q802" s="271"/>
      <c r="R802" s="16"/>
      <c r="S802" s="27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08"/>
      <c r="C803" s="170"/>
      <c r="D803" s="141"/>
      <c r="E803" s="109"/>
      <c r="F803" s="109"/>
      <c r="G803" s="108"/>
      <c r="H803" s="108"/>
      <c r="I803" s="190"/>
      <c r="J803" s="108"/>
      <c r="K803" s="106"/>
      <c r="L803" s="107"/>
      <c r="M803" s="107"/>
      <c r="N803" s="106"/>
      <c r="O803" s="106"/>
      <c r="Q803" s="271"/>
      <c r="R803" s="16"/>
      <c r="S803" s="27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08"/>
      <c r="C804" s="170"/>
      <c r="D804" s="141"/>
      <c r="E804" s="109"/>
      <c r="F804" s="109"/>
      <c r="G804" s="108"/>
      <c r="H804" s="108"/>
      <c r="I804" s="190"/>
      <c r="J804" s="108"/>
      <c r="K804" s="106"/>
      <c r="L804" s="107"/>
      <c r="M804" s="107"/>
      <c r="N804" s="106"/>
      <c r="O804" s="106"/>
      <c r="Q804" s="271"/>
      <c r="R804" s="16"/>
      <c r="S804" s="27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08"/>
      <c r="C805" s="170"/>
      <c r="D805" s="141"/>
      <c r="E805" s="109"/>
      <c r="F805" s="109"/>
      <c r="G805" s="108"/>
      <c r="H805" s="108"/>
      <c r="I805" s="190"/>
      <c r="J805" s="108"/>
      <c r="K805" s="106"/>
      <c r="L805" s="107"/>
      <c r="M805" s="107"/>
      <c r="N805" s="106"/>
      <c r="O805" s="106"/>
      <c r="Q805" s="271"/>
      <c r="R805" s="16"/>
      <c r="S805" s="27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08"/>
      <c r="C806" s="170"/>
      <c r="D806" s="141"/>
      <c r="E806" s="109"/>
      <c r="F806" s="109"/>
      <c r="G806" s="108"/>
      <c r="H806" s="108"/>
      <c r="I806" s="190"/>
      <c r="J806" s="108"/>
      <c r="K806" s="106"/>
      <c r="L806" s="107"/>
      <c r="M806" s="107"/>
      <c r="N806" s="106"/>
      <c r="O806" s="106"/>
      <c r="Q806" s="271"/>
      <c r="R806" s="16"/>
      <c r="S806" s="27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08"/>
      <c r="C807" s="170"/>
      <c r="D807" s="141"/>
      <c r="E807" s="109"/>
      <c r="F807" s="109"/>
      <c r="G807" s="108"/>
      <c r="H807" s="108"/>
      <c r="I807" s="190"/>
      <c r="J807" s="108"/>
      <c r="K807" s="106"/>
      <c r="L807" s="107"/>
      <c r="M807" s="107"/>
      <c r="N807" s="106"/>
      <c r="O807" s="106"/>
      <c r="Q807" s="271"/>
      <c r="R807" s="16"/>
      <c r="S807" s="27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08"/>
      <c r="C808" s="170"/>
      <c r="D808" s="141"/>
      <c r="E808" s="109"/>
      <c r="F808" s="109"/>
      <c r="G808" s="108"/>
      <c r="H808" s="108"/>
      <c r="I808" s="190"/>
      <c r="J808" s="108"/>
      <c r="K808" s="106"/>
      <c r="L808" s="107"/>
      <c r="M808" s="107"/>
      <c r="N808" s="106"/>
      <c r="O808" s="106"/>
      <c r="Q808" s="271"/>
      <c r="R808" s="16"/>
      <c r="S808" s="27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08"/>
      <c r="C809" s="170"/>
      <c r="D809" s="141"/>
      <c r="E809" s="109"/>
      <c r="F809" s="109"/>
      <c r="G809" s="108"/>
      <c r="H809" s="108"/>
      <c r="I809" s="190"/>
      <c r="J809" s="108"/>
      <c r="K809" s="106"/>
      <c r="L809" s="107"/>
      <c r="M809" s="107"/>
      <c r="N809" s="106"/>
      <c r="O809" s="106"/>
      <c r="Q809" s="271"/>
      <c r="R809" s="16"/>
      <c r="S809" s="27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08"/>
      <c r="C810" s="170"/>
      <c r="D810" s="141"/>
      <c r="E810" s="109"/>
      <c r="F810" s="109"/>
      <c r="G810" s="108"/>
      <c r="H810" s="108"/>
      <c r="I810" s="190"/>
      <c r="J810" s="108"/>
      <c r="K810" s="106"/>
      <c r="L810" s="107"/>
      <c r="M810" s="107"/>
      <c r="N810" s="106"/>
      <c r="O810" s="106"/>
      <c r="Q810" s="271"/>
      <c r="R810" s="16"/>
      <c r="S810" s="27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08"/>
      <c r="C811" s="170"/>
      <c r="D811" s="141"/>
      <c r="E811" s="109"/>
      <c r="F811" s="109"/>
      <c r="G811" s="108"/>
      <c r="H811" s="108"/>
      <c r="I811" s="190"/>
      <c r="J811" s="108"/>
      <c r="K811" s="106"/>
      <c r="L811" s="107"/>
      <c r="M811" s="107"/>
      <c r="N811" s="106"/>
      <c r="O811" s="106"/>
      <c r="Q811" s="271"/>
      <c r="R811" s="16"/>
      <c r="S811" s="27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08"/>
      <c r="C812" s="170"/>
      <c r="D812" s="141"/>
      <c r="E812" s="109"/>
      <c r="F812" s="109"/>
      <c r="G812" s="108"/>
      <c r="H812" s="108"/>
      <c r="I812" s="190"/>
      <c r="J812" s="108"/>
      <c r="K812" s="106"/>
      <c r="L812" s="107"/>
      <c r="M812" s="107"/>
      <c r="N812" s="106"/>
      <c r="O812" s="106"/>
      <c r="Q812" s="271"/>
      <c r="R812" s="16"/>
      <c r="S812" s="27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08"/>
      <c r="C813" s="170"/>
      <c r="D813" s="141"/>
      <c r="E813" s="109"/>
      <c r="F813" s="109"/>
      <c r="G813" s="108"/>
      <c r="H813" s="108"/>
      <c r="I813" s="190"/>
      <c r="J813" s="108"/>
      <c r="K813" s="106"/>
      <c r="L813" s="107"/>
      <c r="M813" s="107"/>
      <c r="N813" s="106"/>
      <c r="O813" s="106"/>
      <c r="Q813" s="271"/>
      <c r="R813" s="16"/>
      <c r="S813" s="27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08"/>
      <c r="C814" s="170"/>
      <c r="D814" s="141"/>
      <c r="E814" s="109"/>
      <c r="F814" s="109"/>
      <c r="G814" s="108"/>
      <c r="H814" s="108"/>
      <c r="I814" s="190"/>
      <c r="J814" s="108"/>
      <c r="K814" s="106"/>
      <c r="L814" s="107"/>
      <c r="M814" s="107"/>
      <c r="N814" s="106"/>
      <c r="O814" s="106"/>
      <c r="Q814" s="271"/>
      <c r="R814" s="16"/>
      <c r="S814" s="27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08"/>
      <c r="C815" s="170"/>
      <c r="D815" s="141"/>
      <c r="E815" s="109"/>
      <c r="F815" s="109"/>
      <c r="G815" s="108"/>
      <c r="H815" s="108"/>
      <c r="I815" s="190"/>
      <c r="J815" s="108"/>
      <c r="K815" s="106"/>
      <c r="L815" s="107"/>
      <c r="M815" s="107"/>
      <c r="N815" s="106"/>
      <c r="O815" s="106"/>
      <c r="Q815" s="271"/>
      <c r="R815" s="16"/>
      <c r="S815" s="27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08"/>
      <c r="C816" s="170"/>
      <c r="D816" s="141"/>
      <c r="E816" s="109"/>
      <c r="F816" s="109"/>
      <c r="G816" s="108"/>
      <c r="H816" s="108"/>
      <c r="I816" s="190"/>
      <c r="J816" s="108"/>
      <c r="K816" s="106"/>
      <c r="L816" s="107"/>
      <c r="M816" s="107"/>
      <c r="N816" s="106"/>
      <c r="O816" s="106"/>
      <c r="Q816" s="271"/>
      <c r="R816" s="16"/>
      <c r="S816" s="27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08"/>
      <c r="C817" s="170"/>
      <c r="D817" s="141"/>
      <c r="E817" s="109"/>
      <c r="F817" s="109"/>
      <c r="G817" s="108"/>
      <c r="H817" s="108"/>
      <c r="I817" s="190"/>
      <c r="J817" s="108"/>
      <c r="K817" s="106"/>
      <c r="L817" s="107"/>
      <c r="M817" s="107"/>
      <c r="N817" s="106"/>
      <c r="O817" s="106"/>
      <c r="Q817" s="271"/>
      <c r="R817" s="16"/>
      <c r="S817" s="27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08"/>
      <c r="C818" s="170"/>
      <c r="D818" s="141"/>
      <c r="E818" s="109"/>
      <c r="F818" s="109"/>
      <c r="G818" s="108"/>
      <c r="H818" s="108"/>
      <c r="I818" s="190"/>
      <c r="J818" s="108"/>
      <c r="K818" s="106"/>
      <c r="L818" s="107"/>
      <c r="M818" s="107"/>
      <c r="N818" s="106"/>
      <c r="O818" s="106"/>
      <c r="Q818" s="271"/>
      <c r="R818" s="16"/>
      <c r="S818" s="27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08"/>
      <c r="C819" s="170"/>
      <c r="D819" s="141"/>
      <c r="E819" s="109"/>
      <c r="F819" s="109"/>
      <c r="G819" s="108"/>
      <c r="H819" s="108"/>
      <c r="I819" s="190"/>
      <c r="J819" s="108"/>
      <c r="K819" s="106"/>
      <c r="L819" s="107"/>
      <c r="M819" s="107"/>
      <c r="N819" s="106"/>
      <c r="O819" s="106"/>
      <c r="Q819" s="271"/>
      <c r="R819" s="16"/>
      <c r="S819" s="27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08"/>
      <c r="C820" s="170"/>
      <c r="D820" s="141"/>
      <c r="E820" s="109"/>
      <c r="F820" s="109"/>
      <c r="G820" s="108"/>
      <c r="H820" s="108"/>
      <c r="I820" s="190"/>
      <c r="J820" s="108"/>
      <c r="K820" s="106"/>
      <c r="L820" s="107"/>
      <c r="M820" s="107"/>
      <c r="N820" s="106"/>
      <c r="O820" s="106"/>
      <c r="Q820" s="271"/>
      <c r="R820" s="16"/>
      <c r="S820" s="27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08"/>
      <c r="C821" s="170"/>
      <c r="D821" s="141"/>
      <c r="E821" s="109"/>
      <c r="F821" s="109"/>
      <c r="G821" s="108"/>
      <c r="H821" s="108"/>
      <c r="I821" s="190"/>
      <c r="J821" s="108"/>
      <c r="K821" s="106"/>
      <c r="L821" s="107"/>
      <c r="M821" s="107"/>
      <c r="N821" s="106"/>
      <c r="O821" s="106"/>
      <c r="Q821" s="271"/>
      <c r="R821" s="16"/>
      <c r="S821" s="27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08"/>
      <c r="C822" s="170"/>
      <c r="D822" s="141"/>
      <c r="E822" s="109"/>
      <c r="F822" s="109"/>
      <c r="G822" s="108"/>
      <c r="H822" s="108"/>
      <c r="I822" s="190"/>
      <c r="J822" s="108"/>
      <c r="K822" s="106"/>
      <c r="L822" s="107"/>
      <c r="M822" s="107"/>
      <c r="N822" s="106"/>
      <c r="O822" s="106"/>
      <c r="Q822" s="271"/>
      <c r="R822" s="16"/>
      <c r="S822" s="27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08"/>
      <c r="C823" s="170"/>
      <c r="D823" s="141"/>
      <c r="E823" s="109"/>
      <c r="F823" s="109"/>
      <c r="G823" s="108"/>
      <c r="H823" s="108"/>
      <c r="I823" s="190"/>
      <c r="J823" s="108"/>
      <c r="K823" s="106"/>
      <c r="L823" s="107"/>
      <c r="M823" s="107"/>
      <c r="N823" s="106"/>
      <c r="O823" s="106"/>
      <c r="Q823" s="271"/>
      <c r="R823" s="16"/>
      <c r="S823" s="27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08"/>
      <c r="C824" s="170"/>
      <c r="D824" s="141"/>
      <c r="E824" s="109"/>
      <c r="F824" s="109"/>
      <c r="G824" s="108"/>
      <c r="H824" s="108"/>
      <c r="I824" s="190"/>
      <c r="J824" s="108"/>
      <c r="K824" s="106"/>
      <c r="L824" s="107"/>
      <c r="M824" s="107"/>
      <c r="N824" s="106"/>
      <c r="O824" s="106"/>
      <c r="Q824" s="271"/>
      <c r="R824" s="16"/>
      <c r="S824" s="27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08"/>
      <c r="C825" s="170"/>
      <c r="D825" s="141"/>
      <c r="E825" s="109"/>
      <c r="F825" s="109"/>
      <c r="G825" s="108"/>
      <c r="H825" s="108"/>
      <c r="I825" s="190"/>
      <c r="J825" s="108"/>
      <c r="K825" s="106"/>
      <c r="L825" s="107"/>
      <c r="M825" s="107"/>
      <c r="N825" s="106"/>
      <c r="O825" s="106"/>
      <c r="Q825" s="271"/>
      <c r="R825" s="16"/>
      <c r="S825" s="27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08"/>
      <c r="C826" s="170"/>
      <c r="D826" s="141"/>
      <c r="E826" s="109"/>
      <c r="F826" s="109"/>
      <c r="G826" s="108"/>
      <c r="H826" s="108"/>
      <c r="I826" s="190"/>
      <c r="J826" s="108"/>
      <c r="K826" s="106"/>
      <c r="L826" s="107"/>
      <c r="M826" s="107"/>
      <c r="N826" s="106"/>
      <c r="O826" s="106"/>
      <c r="Q826" s="271"/>
      <c r="R826" s="16"/>
      <c r="S826" s="27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08"/>
      <c r="C827" s="170"/>
      <c r="D827" s="141"/>
      <c r="E827" s="109"/>
      <c r="F827" s="109"/>
      <c r="G827" s="108"/>
      <c r="H827" s="108"/>
      <c r="I827" s="190"/>
      <c r="J827" s="108"/>
      <c r="K827" s="106"/>
      <c r="L827" s="107"/>
      <c r="M827" s="107"/>
      <c r="N827" s="106"/>
      <c r="O827" s="106"/>
      <c r="Q827" s="271"/>
      <c r="R827" s="16"/>
      <c r="S827" s="27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08"/>
      <c r="C828" s="170"/>
      <c r="D828" s="141"/>
      <c r="E828" s="109"/>
      <c r="F828" s="109"/>
      <c r="G828" s="108"/>
      <c r="H828" s="108"/>
      <c r="I828" s="190"/>
      <c r="J828" s="108"/>
      <c r="K828" s="106"/>
      <c r="L828" s="107"/>
      <c r="M828" s="107"/>
      <c r="N828" s="106"/>
      <c r="O828" s="106"/>
      <c r="Q828" s="271"/>
      <c r="R828" s="16"/>
      <c r="S828" s="27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08"/>
      <c r="C829" s="170"/>
      <c r="D829" s="141"/>
      <c r="E829" s="109"/>
      <c r="F829" s="109"/>
      <c r="G829" s="108"/>
      <c r="H829" s="108"/>
      <c r="I829" s="190"/>
      <c r="J829" s="108"/>
      <c r="K829" s="106"/>
      <c r="L829" s="107"/>
      <c r="M829" s="107"/>
      <c r="N829" s="106"/>
      <c r="O829" s="106"/>
      <c r="Q829" s="271"/>
      <c r="R829" s="16"/>
      <c r="S829" s="27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08"/>
      <c r="C830" s="170"/>
      <c r="D830" s="141"/>
      <c r="E830" s="109"/>
      <c r="F830" s="109"/>
      <c r="G830" s="108"/>
      <c r="H830" s="108"/>
      <c r="I830" s="190"/>
      <c r="J830" s="108"/>
      <c r="K830" s="106"/>
      <c r="L830" s="107"/>
      <c r="M830" s="107"/>
      <c r="N830" s="106"/>
      <c r="O830" s="106"/>
      <c r="Q830" s="271"/>
      <c r="R830" s="16"/>
      <c r="S830" s="27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08"/>
      <c r="C831" s="170"/>
      <c r="D831" s="141"/>
      <c r="E831" s="109"/>
      <c r="F831" s="109"/>
      <c r="G831" s="108"/>
      <c r="H831" s="108"/>
      <c r="I831" s="190"/>
      <c r="J831" s="108"/>
      <c r="K831" s="106"/>
      <c r="L831" s="107"/>
      <c r="M831" s="107"/>
      <c r="N831" s="106"/>
      <c r="O831" s="106"/>
      <c r="Q831" s="271"/>
      <c r="R831" s="16"/>
      <c r="S831" s="27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08"/>
      <c r="C832" s="170"/>
      <c r="D832" s="141"/>
      <c r="E832" s="109"/>
      <c r="F832" s="109"/>
      <c r="G832" s="108"/>
      <c r="H832" s="108"/>
      <c r="I832" s="190"/>
      <c r="J832" s="108"/>
      <c r="K832" s="106"/>
      <c r="L832" s="107"/>
      <c r="M832" s="107"/>
      <c r="N832" s="106"/>
      <c r="O832" s="106"/>
      <c r="Q832" s="271"/>
      <c r="R832" s="16"/>
      <c r="S832" s="27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08"/>
      <c r="C833" s="170"/>
      <c r="D833" s="141"/>
      <c r="E833" s="109"/>
      <c r="F833" s="109"/>
      <c r="G833" s="108"/>
      <c r="H833" s="108"/>
      <c r="I833" s="190"/>
      <c r="J833" s="108"/>
      <c r="K833" s="106"/>
      <c r="L833" s="107"/>
      <c r="M833" s="107"/>
      <c r="N833" s="106"/>
      <c r="O833" s="106"/>
      <c r="Q833" s="271"/>
      <c r="R833" s="16"/>
      <c r="S833" s="27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08"/>
      <c r="C834" s="170"/>
      <c r="D834" s="141"/>
      <c r="E834" s="109"/>
      <c r="F834" s="109"/>
      <c r="G834" s="108"/>
      <c r="H834" s="108"/>
      <c r="I834" s="190"/>
      <c r="J834" s="108"/>
      <c r="K834" s="106"/>
      <c r="L834" s="107"/>
      <c r="M834" s="107"/>
      <c r="N834" s="106"/>
      <c r="O834" s="106"/>
      <c r="Q834" s="271"/>
      <c r="R834" s="16"/>
      <c r="S834" s="27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08"/>
      <c r="C835" s="170"/>
      <c r="D835" s="141"/>
      <c r="E835" s="109"/>
      <c r="F835" s="109"/>
      <c r="G835" s="108"/>
      <c r="H835" s="108"/>
      <c r="I835" s="190"/>
      <c r="J835" s="108"/>
      <c r="K835" s="106"/>
      <c r="L835" s="107"/>
      <c r="M835" s="107"/>
      <c r="N835" s="106"/>
      <c r="O835" s="106"/>
      <c r="Q835" s="271"/>
      <c r="R835" s="16"/>
      <c r="S835" s="27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08"/>
      <c r="C836" s="170"/>
      <c r="D836" s="141"/>
      <c r="E836" s="109"/>
      <c r="F836" s="109"/>
      <c r="G836" s="108"/>
      <c r="H836" s="108"/>
      <c r="I836" s="190"/>
      <c r="J836" s="108"/>
      <c r="K836" s="106"/>
      <c r="L836" s="107"/>
      <c r="M836" s="107"/>
      <c r="N836" s="106"/>
      <c r="O836" s="106"/>
      <c r="Q836" s="271"/>
      <c r="R836" s="16"/>
      <c r="S836" s="27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08"/>
      <c r="C837" s="170"/>
      <c r="D837" s="141"/>
      <c r="E837" s="109"/>
      <c r="F837" s="109"/>
      <c r="G837" s="108"/>
      <c r="H837" s="108"/>
      <c r="I837" s="190"/>
      <c r="J837" s="108"/>
      <c r="K837" s="106"/>
      <c r="L837" s="107"/>
      <c r="M837" s="107"/>
      <c r="N837" s="106"/>
      <c r="O837" s="106"/>
      <c r="Q837" s="271"/>
      <c r="R837" s="16"/>
      <c r="S837" s="27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08"/>
      <c r="C838" s="170"/>
      <c r="D838" s="141"/>
      <c r="E838" s="109"/>
      <c r="F838" s="109"/>
      <c r="G838" s="108"/>
      <c r="H838" s="108"/>
      <c r="I838" s="190"/>
      <c r="J838" s="108"/>
      <c r="K838" s="106"/>
      <c r="L838" s="107"/>
      <c r="M838" s="107"/>
      <c r="N838" s="106"/>
      <c r="O838" s="106"/>
      <c r="Q838" s="271"/>
      <c r="R838" s="16"/>
      <c r="S838" s="27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08"/>
      <c r="C839" s="170"/>
      <c r="D839" s="141"/>
      <c r="E839" s="109"/>
      <c r="F839" s="109"/>
      <c r="G839" s="108"/>
      <c r="H839" s="108"/>
      <c r="I839" s="190"/>
      <c r="J839" s="108"/>
      <c r="K839" s="106"/>
      <c r="L839" s="107"/>
      <c r="M839" s="107"/>
      <c r="N839" s="106"/>
      <c r="O839" s="106"/>
      <c r="Q839" s="271"/>
      <c r="R839" s="16"/>
      <c r="S839" s="27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08"/>
      <c r="C840" s="170"/>
      <c r="D840" s="141"/>
      <c r="E840" s="109"/>
      <c r="F840" s="109"/>
      <c r="G840" s="108"/>
      <c r="H840" s="108"/>
      <c r="I840" s="190"/>
      <c r="J840" s="108"/>
      <c r="K840" s="106"/>
      <c r="L840" s="107"/>
      <c r="M840" s="107"/>
      <c r="N840" s="106"/>
      <c r="O840" s="106"/>
      <c r="Q840" s="271"/>
      <c r="R840" s="16"/>
      <c r="S840" s="27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08"/>
      <c r="C841" s="170"/>
      <c r="D841" s="141"/>
      <c r="E841" s="109"/>
      <c r="F841" s="109"/>
      <c r="G841" s="108"/>
      <c r="H841" s="108"/>
      <c r="I841" s="190"/>
      <c r="J841" s="108"/>
      <c r="K841" s="106"/>
      <c r="L841" s="107"/>
      <c r="M841" s="107"/>
      <c r="N841" s="106"/>
      <c r="O841" s="106"/>
      <c r="Q841" s="271"/>
      <c r="R841" s="16"/>
      <c r="S841" s="27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08"/>
      <c r="C842" s="170"/>
      <c r="D842" s="141"/>
      <c r="E842" s="109"/>
      <c r="F842" s="109"/>
      <c r="G842" s="108"/>
      <c r="H842" s="108"/>
      <c r="I842" s="190"/>
      <c r="J842" s="108"/>
      <c r="K842" s="106"/>
      <c r="L842" s="107"/>
      <c r="M842" s="107"/>
      <c r="N842" s="106"/>
      <c r="O842" s="106"/>
      <c r="Q842" s="271"/>
      <c r="R842" s="16"/>
      <c r="S842" s="27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08"/>
      <c r="C843" s="170"/>
      <c r="D843" s="141"/>
      <c r="E843" s="109"/>
      <c r="F843" s="109"/>
      <c r="G843" s="108"/>
      <c r="H843" s="108"/>
      <c r="I843" s="190"/>
      <c r="J843" s="108"/>
      <c r="K843" s="106"/>
      <c r="L843" s="107"/>
      <c r="M843" s="107"/>
      <c r="N843" s="106"/>
      <c r="O843" s="106"/>
      <c r="Q843" s="271"/>
      <c r="R843" s="16"/>
      <c r="S843" s="27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08"/>
      <c r="C844" s="170"/>
      <c r="D844" s="141"/>
      <c r="E844" s="109"/>
      <c r="F844" s="109"/>
      <c r="G844" s="108"/>
      <c r="H844" s="108"/>
      <c r="I844" s="190"/>
      <c r="J844" s="108"/>
      <c r="K844" s="106"/>
      <c r="L844" s="107"/>
      <c r="M844" s="107"/>
      <c r="N844" s="106"/>
      <c r="O844" s="106"/>
      <c r="Q844" s="271"/>
      <c r="R844" s="16"/>
      <c r="S844" s="27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08"/>
      <c r="C845" s="170"/>
      <c r="D845" s="141"/>
      <c r="E845" s="109"/>
      <c r="F845" s="109"/>
      <c r="G845" s="108"/>
      <c r="H845" s="108"/>
      <c r="I845" s="190"/>
      <c r="J845" s="108"/>
      <c r="K845" s="106"/>
      <c r="L845" s="107"/>
      <c r="M845" s="107"/>
      <c r="N845" s="106"/>
      <c r="O845" s="106"/>
      <c r="Q845" s="271"/>
      <c r="R845" s="16"/>
      <c r="S845" s="27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08"/>
      <c r="C846" s="170"/>
      <c r="D846" s="141"/>
      <c r="E846" s="109"/>
      <c r="F846" s="109"/>
      <c r="G846" s="108"/>
      <c r="H846" s="108"/>
      <c r="I846" s="190"/>
      <c r="J846" s="108"/>
      <c r="K846" s="106"/>
      <c r="L846" s="107"/>
      <c r="M846" s="107"/>
      <c r="N846" s="106"/>
      <c r="O846" s="106"/>
      <c r="Q846" s="271"/>
      <c r="R846" s="16"/>
      <c r="S846" s="27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08"/>
      <c r="C847" s="170"/>
      <c r="D847" s="141"/>
      <c r="E847" s="109"/>
      <c r="F847" s="109"/>
      <c r="G847" s="108"/>
      <c r="H847" s="108"/>
      <c r="I847" s="190"/>
      <c r="J847" s="108"/>
      <c r="K847" s="106"/>
      <c r="L847" s="107"/>
      <c r="M847" s="107"/>
      <c r="N847" s="106"/>
      <c r="O847" s="106"/>
      <c r="Q847" s="271"/>
      <c r="R847" s="16"/>
      <c r="S847" s="27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08"/>
      <c r="C848" s="170"/>
      <c r="D848" s="141"/>
      <c r="E848" s="109"/>
      <c r="F848" s="109"/>
      <c r="G848" s="108"/>
      <c r="H848" s="108"/>
      <c r="I848" s="190"/>
      <c r="J848" s="108"/>
      <c r="K848" s="106"/>
      <c r="L848" s="107"/>
      <c r="M848" s="107"/>
      <c r="N848" s="106"/>
      <c r="O848" s="106"/>
      <c r="Q848" s="271"/>
      <c r="R848" s="16"/>
      <c r="S848" s="27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08"/>
      <c r="C849" s="170"/>
      <c r="D849" s="141"/>
      <c r="E849" s="109"/>
      <c r="F849" s="109"/>
      <c r="G849" s="108"/>
      <c r="H849" s="108"/>
      <c r="I849" s="190"/>
      <c r="J849" s="108"/>
      <c r="K849" s="106"/>
      <c r="L849" s="107"/>
      <c r="M849" s="107"/>
      <c r="N849" s="106"/>
      <c r="O849" s="106"/>
      <c r="Q849" s="271"/>
      <c r="R849" s="16"/>
      <c r="S849" s="27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08"/>
      <c r="C850" s="170"/>
      <c r="D850" s="141"/>
      <c r="E850" s="109"/>
      <c r="F850" s="109"/>
      <c r="G850" s="108"/>
      <c r="H850" s="108"/>
      <c r="I850" s="190"/>
      <c r="J850" s="108"/>
      <c r="K850" s="106"/>
      <c r="L850" s="107"/>
      <c r="M850" s="107"/>
      <c r="N850" s="106"/>
      <c r="O850" s="106"/>
      <c r="Q850" s="271"/>
      <c r="R850" s="16"/>
      <c r="S850" s="27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08"/>
      <c r="C851" s="170"/>
      <c r="D851" s="141"/>
      <c r="E851" s="109"/>
      <c r="F851" s="109"/>
      <c r="G851" s="108"/>
      <c r="H851" s="108"/>
      <c r="I851" s="190"/>
      <c r="J851" s="108"/>
      <c r="K851" s="106"/>
      <c r="L851" s="107"/>
      <c r="M851" s="107"/>
      <c r="N851" s="106"/>
      <c r="O851" s="106"/>
      <c r="Q851" s="271"/>
      <c r="R851" s="16"/>
      <c r="S851" s="27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08"/>
      <c r="C852" s="170"/>
      <c r="D852" s="141"/>
      <c r="E852" s="109"/>
      <c r="F852" s="109"/>
      <c r="G852" s="108"/>
      <c r="H852" s="108"/>
      <c r="I852" s="190"/>
      <c r="J852" s="108"/>
      <c r="K852" s="106"/>
      <c r="L852" s="107"/>
      <c r="M852" s="107"/>
      <c r="N852" s="106"/>
      <c r="O852" s="106"/>
      <c r="Q852" s="271"/>
      <c r="R852" s="16"/>
      <c r="S852" s="27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08"/>
      <c r="C853" s="170"/>
      <c r="D853" s="141"/>
      <c r="E853" s="109"/>
      <c r="F853" s="109"/>
      <c r="G853" s="108"/>
      <c r="H853" s="108"/>
      <c r="I853" s="190"/>
      <c r="J853" s="108"/>
      <c r="K853" s="106"/>
      <c r="L853" s="107"/>
      <c r="M853" s="107"/>
      <c r="N853" s="106"/>
      <c r="O853" s="106"/>
      <c r="Q853" s="271"/>
      <c r="R853" s="16"/>
      <c r="S853" s="27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08"/>
      <c r="C854" s="170"/>
      <c r="D854" s="141"/>
      <c r="E854" s="109"/>
      <c r="F854" s="109"/>
      <c r="G854" s="108"/>
      <c r="H854" s="108"/>
      <c r="I854" s="190"/>
      <c r="J854" s="108"/>
      <c r="K854" s="106"/>
      <c r="L854" s="107"/>
      <c r="M854" s="107"/>
      <c r="N854" s="106"/>
      <c r="O854" s="106"/>
      <c r="Q854" s="271"/>
      <c r="R854" s="16"/>
      <c r="S854" s="27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08"/>
      <c r="C855" s="170"/>
      <c r="D855" s="141"/>
      <c r="E855" s="109"/>
      <c r="F855" s="109"/>
      <c r="G855" s="108"/>
      <c r="H855" s="108"/>
      <c r="I855" s="190"/>
      <c r="J855" s="108"/>
      <c r="K855" s="106"/>
      <c r="L855" s="107"/>
      <c r="M855" s="107"/>
      <c r="N855" s="106"/>
      <c r="O855" s="106"/>
      <c r="Q855" s="271"/>
      <c r="R855" s="16"/>
      <c r="S855" s="27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08"/>
      <c r="C856" s="170"/>
      <c r="D856" s="141"/>
      <c r="E856" s="109"/>
      <c r="F856" s="109"/>
      <c r="G856" s="108"/>
      <c r="H856" s="108"/>
      <c r="I856" s="190"/>
      <c r="J856" s="108"/>
      <c r="K856" s="106"/>
      <c r="L856" s="107"/>
      <c r="M856" s="107"/>
      <c r="N856" s="106"/>
      <c r="O856" s="106"/>
      <c r="Q856" s="271"/>
      <c r="R856" s="16"/>
      <c r="S856" s="27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08"/>
      <c r="C857" s="170"/>
      <c r="D857" s="141"/>
      <c r="E857" s="109"/>
      <c r="F857" s="109"/>
      <c r="G857" s="108"/>
      <c r="H857" s="108"/>
      <c r="I857" s="190"/>
      <c r="J857" s="108"/>
      <c r="K857" s="106"/>
      <c r="L857" s="107"/>
      <c r="M857" s="107"/>
      <c r="N857" s="106"/>
      <c r="O857" s="106"/>
      <c r="Q857" s="271"/>
      <c r="R857" s="16"/>
      <c r="S857" s="27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08"/>
      <c r="C858" s="170"/>
      <c r="D858" s="141"/>
      <c r="E858" s="109"/>
      <c r="F858" s="109"/>
      <c r="G858" s="108"/>
      <c r="H858" s="108"/>
      <c r="I858" s="190"/>
      <c r="J858" s="108"/>
      <c r="K858" s="106"/>
      <c r="L858" s="107"/>
      <c r="M858" s="107"/>
      <c r="N858" s="106"/>
      <c r="O858" s="106"/>
      <c r="Q858" s="271"/>
      <c r="R858" s="16"/>
      <c r="S858" s="27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08"/>
      <c r="C859" s="170"/>
      <c r="D859" s="141"/>
      <c r="E859" s="109"/>
      <c r="F859" s="109"/>
      <c r="G859" s="108"/>
      <c r="H859" s="108"/>
      <c r="I859" s="190"/>
      <c r="J859" s="108"/>
      <c r="K859" s="106"/>
      <c r="L859" s="107"/>
      <c r="M859" s="107"/>
      <c r="N859" s="106"/>
      <c r="O859" s="106"/>
      <c r="Q859" s="271"/>
      <c r="R859" s="16"/>
      <c r="S859" s="27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08"/>
      <c r="C860" s="170"/>
      <c r="D860" s="141"/>
      <c r="E860" s="109"/>
      <c r="F860" s="109"/>
      <c r="G860" s="108"/>
      <c r="H860" s="108"/>
      <c r="I860" s="190"/>
      <c r="J860" s="108"/>
      <c r="K860" s="106"/>
      <c r="L860" s="107"/>
      <c r="M860" s="107"/>
      <c r="N860" s="106"/>
      <c r="O860" s="106"/>
      <c r="Q860" s="271"/>
      <c r="R860" s="16"/>
      <c r="S860" s="27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08"/>
      <c r="C861" s="170"/>
      <c r="D861" s="141"/>
      <c r="E861" s="109"/>
      <c r="F861" s="109"/>
      <c r="G861" s="108"/>
      <c r="H861" s="108"/>
      <c r="I861" s="190"/>
      <c r="J861" s="108"/>
      <c r="K861" s="106"/>
      <c r="L861" s="107"/>
      <c r="M861" s="107"/>
      <c r="N861" s="106"/>
      <c r="O861" s="106"/>
      <c r="Q861" s="271"/>
      <c r="R861" s="16"/>
      <c r="S861" s="27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08"/>
      <c r="C862" s="170"/>
      <c r="D862" s="141"/>
      <c r="E862" s="109"/>
      <c r="F862" s="109"/>
      <c r="G862" s="108"/>
      <c r="H862" s="108"/>
      <c r="I862" s="190"/>
      <c r="J862" s="108"/>
      <c r="K862" s="106"/>
      <c r="L862" s="107"/>
      <c r="M862" s="107"/>
      <c r="N862" s="106"/>
      <c r="O862" s="106"/>
      <c r="Q862" s="271"/>
      <c r="R862" s="16"/>
      <c r="S862" s="27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08"/>
      <c r="C863" s="170"/>
      <c r="D863" s="141"/>
      <c r="E863" s="109"/>
      <c r="F863" s="109"/>
      <c r="G863" s="108"/>
      <c r="H863" s="108"/>
      <c r="I863" s="190"/>
      <c r="J863" s="108"/>
      <c r="K863" s="106"/>
      <c r="L863" s="107"/>
      <c r="M863" s="107"/>
      <c r="N863" s="106"/>
      <c r="O863" s="106"/>
      <c r="Q863" s="271"/>
      <c r="R863" s="16"/>
      <c r="S863" s="27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08"/>
      <c r="C864" s="170"/>
      <c r="D864" s="141"/>
      <c r="E864" s="109"/>
      <c r="F864" s="109"/>
      <c r="G864" s="108"/>
      <c r="H864" s="108"/>
      <c r="I864" s="190"/>
      <c r="J864" s="108"/>
      <c r="K864" s="106"/>
      <c r="L864" s="107"/>
      <c r="M864" s="107"/>
      <c r="N864" s="106"/>
      <c r="O864" s="106"/>
      <c r="Q864" s="271"/>
      <c r="R864" s="16"/>
      <c r="S864" s="27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08"/>
      <c r="C865" s="170"/>
      <c r="D865" s="141"/>
      <c r="E865" s="109"/>
      <c r="F865" s="109"/>
      <c r="G865" s="108"/>
      <c r="H865" s="108"/>
      <c r="I865" s="190"/>
      <c r="J865" s="108"/>
      <c r="K865" s="106"/>
      <c r="L865" s="107"/>
      <c r="M865" s="107"/>
      <c r="N865" s="106"/>
      <c r="O865" s="106"/>
      <c r="Q865" s="271"/>
      <c r="R865" s="16"/>
      <c r="S865" s="27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08"/>
      <c r="C866" s="170"/>
      <c r="D866" s="141"/>
      <c r="E866" s="109"/>
      <c r="F866" s="109"/>
      <c r="G866" s="108"/>
      <c r="H866" s="108"/>
      <c r="I866" s="190"/>
      <c r="J866" s="108"/>
      <c r="K866" s="106"/>
      <c r="L866" s="107"/>
      <c r="M866" s="107"/>
      <c r="N866" s="106"/>
      <c r="O866" s="106"/>
      <c r="Q866" s="271"/>
      <c r="R866" s="16"/>
      <c r="S866" s="27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08"/>
      <c r="C867" s="170"/>
      <c r="D867" s="141"/>
      <c r="E867" s="109"/>
      <c r="F867" s="109"/>
      <c r="G867" s="108"/>
      <c r="H867" s="108"/>
      <c r="I867" s="190"/>
      <c r="J867" s="108"/>
      <c r="K867" s="106"/>
      <c r="L867" s="107"/>
      <c r="M867" s="107"/>
      <c r="N867" s="106"/>
      <c r="O867" s="106"/>
      <c r="Q867" s="271"/>
      <c r="R867" s="16"/>
      <c r="S867" s="27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08"/>
      <c r="C868" s="170"/>
      <c r="D868" s="141"/>
      <c r="E868" s="109"/>
      <c r="F868" s="109"/>
      <c r="G868" s="108"/>
      <c r="H868" s="108"/>
      <c r="I868" s="190"/>
      <c r="J868" s="108"/>
      <c r="K868" s="106"/>
      <c r="L868" s="107"/>
      <c r="M868" s="107"/>
      <c r="N868" s="106"/>
      <c r="O868" s="106"/>
      <c r="Q868" s="271"/>
      <c r="R868" s="16"/>
      <c r="S868" s="27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08"/>
      <c r="C869" s="170"/>
      <c r="D869" s="141"/>
      <c r="E869" s="109"/>
      <c r="F869" s="109"/>
      <c r="G869" s="108"/>
      <c r="H869" s="108"/>
      <c r="I869" s="190"/>
      <c r="J869" s="108"/>
      <c r="K869" s="106"/>
      <c r="L869" s="107"/>
      <c r="M869" s="107"/>
      <c r="N869" s="106"/>
      <c r="O869" s="106"/>
      <c r="Q869" s="271"/>
      <c r="R869" s="16"/>
      <c r="S869" s="27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08"/>
      <c r="C870" s="170"/>
      <c r="D870" s="141"/>
      <c r="E870" s="109"/>
      <c r="F870" s="109"/>
      <c r="G870" s="108"/>
      <c r="H870" s="108"/>
      <c r="I870" s="190"/>
      <c r="J870" s="108"/>
      <c r="K870" s="106"/>
      <c r="L870" s="107"/>
      <c r="M870" s="107"/>
      <c r="N870" s="106"/>
      <c r="O870" s="106"/>
      <c r="Q870" s="271"/>
      <c r="R870" s="16"/>
      <c r="S870" s="27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08"/>
      <c r="C871" s="170"/>
      <c r="D871" s="141"/>
      <c r="E871" s="109"/>
      <c r="F871" s="109"/>
      <c r="G871" s="108"/>
      <c r="H871" s="108"/>
      <c r="I871" s="190"/>
      <c r="J871" s="108"/>
      <c r="K871" s="106"/>
      <c r="L871" s="107"/>
      <c r="M871" s="107"/>
      <c r="N871" s="106"/>
      <c r="O871" s="106"/>
      <c r="Q871" s="271"/>
      <c r="R871" s="16"/>
      <c r="S871" s="27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08"/>
      <c r="C872" s="170"/>
      <c r="D872" s="141"/>
      <c r="E872" s="109"/>
      <c r="F872" s="109"/>
      <c r="G872" s="108"/>
      <c r="H872" s="108"/>
      <c r="I872" s="190"/>
      <c r="J872" s="108"/>
      <c r="K872" s="106"/>
      <c r="L872" s="107"/>
      <c r="M872" s="107"/>
      <c r="N872" s="106"/>
      <c r="O872" s="106"/>
      <c r="Q872" s="271"/>
      <c r="R872" s="16"/>
      <c r="S872" s="27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08"/>
      <c r="C873" s="170"/>
      <c r="D873" s="141"/>
      <c r="E873" s="109"/>
      <c r="F873" s="109"/>
      <c r="G873" s="108"/>
      <c r="H873" s="108"/>
      <c r="I873" s="190"/>
      <c r="J873" s="108"/>
      <c r="K873" s="106"/>
      <c r="L873" s="107"/>
      <c r="M873" s="107"/>
      <c r="N873" s="106"/>
      <c r="O873" s="106"/>
      <c r="Q873" s="271"/>
      <c r="R873" s="16"/>
      <c r="S873" s="27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08"/>
      <c r="C874" s="170"/>
      <c r="D874" s="141"/>
      <c r="E874" s="109"/>
      <c r="F874" s="109"/>
      <c r="G874" s="108"/>
      <c r="H874" s="108"/>
      <c r="I874" s="190"/>
      <c r="J874" s="108"/>
      <c r="K874" s="106"/>
      <c r="L874" s="107"/>
      <c r="M874" s="107"/>
      <c r="N874" s="106"/>
      <c r="O874" s="106"/>
      <c r="Q874" s="271"/>
      <c r="R874" s="16"/>
      <c r="S874" s="27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08"/>
      <c r="C875" s="170"/>
      <c r="D875" s="141"/>
      <c r="E875" s="109"/>
      <c r="F875" s="109"/>
      <c r="G875" s="108"/>
      <c r="H875" s="108"/>
      <c r="I875" s="190"/>
      <c r="J875" s="108"/>
      <c r="K875" s="106"/>
      <c r="L875" s="107"/>
      <c r="M875" s="107"/>
      <c r="N875" s="106"/>
      <c r="O875" s="106"/>
      <c r="Q875" s="271"/>
      <c r="R875" s="16"/>
      <c r="S875" s="27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08"/>
      <c r="C876" s="170"/>
      <c r="D876" s="141"/>
      <c r="E876" s="109"/>
      <c r="F876" s="109"/>
      <c r="G876" s="108"/>
      <c r="H876" s="108"/>
      <c r="I876" s="190"/>
      <c r="J876" s="108"/>
      <c r="K876" s="106"/>
      <c r="L876" s="107"/>
      <c r="M876" s="107"/>
      <c r="N876" s="106"/>
      <c r="O876" s="106"/>
      <c r="Q876" s="271"/>
      <c r="R876" s="16"/>
      <c r="S876" s="27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08"/>
      <c r="C877" s="170"/>
      <c r="D877" s="141"/>
      <c r="E877" s="109"/>
      <c r="F877" s="109"/>
      <c r="G877" s="108"/>
      <c r="H877" s="108"/>
      <c r="I877" s="190"/>
      <c r="J877" s="108"/>
      <c r="K877" s="106"/>
      <c r="L877" s="107"/>
      <c r="M877" s="107"/>
      <c r="N877" s="106"/>
      <c r="O877" s="106"/>
      <c r="Q877" s="271"/>
      <c r="R877" s="16"/>
      <c r="S877" s="27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08"/>
      <c r="C878" s="170"/>
      <c r="D878" s="141"/>
      <c r="E878" s="109"/>
      <c r="F878" s="109"/>
      <c r="G878" s="108"/>
      <c r="H878" s="108"/>
      <c r="I878" s="190"/>
      <c r="J878" s="108"/>
      <c r="K878" s="106"/>
      <c r="L878" s="107"/>
      <c r="M878" s="107"/>
      <c r="N878" s="106"/>
      <c r="O878" s="106"/>
      <c r="Q878" s="271"/>
      <c r="R878" s="16"/>
      <c r="S878" s="27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08"/>
      <c r="C879" s="170"/>
      <c r="D879" s="141"/>
      <c r="E879" s="109"/>
      <c r="F879" s="109"/>
      <c r="G879" s="108"/>
      <c r="H879" s="108"/>
      <c r="I879" s="190"/>
      <c r="J879" s="108"/>
      <c r="K879" s="106"/>
      <c r="L879" s="107"/>
      <c r="M879" s="107"/>
      <c r="N879" s="106"/>
      <c r="O879" s="106"/>
      <c r="Q879" s="271"/>
      <c r="R879" s="16"/>
      <c r="S879" s="27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08"/>
      <c r="C880" s="170"/>
      <c r="D880" s="141"/>
      <c r="E880" s="109"/>
      <c r="F880" s="109"/>
      <c r="G880" s="108"/>
      <c r="H880" s="108"/>
      <c r="I880" s="190"/>
      <c r="J880" s="108"/>
      <c r="K880" s="106"/>
      <c r="L880" s="107"/>
      <c r="M880" s="107"/>
      <c r="N880" s="106"/>
      <c r="O880" s="106"/>
      <c r="Q880" s="271"/>
      <c r="R880" s="16"/>
      <c r="S880" s="27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08"/>
      <c r="C881" s="170"/>
      <c r="D881" s="141"/>
      <c r="E881" s="109"/>
      <c r="F881" s="109"/>
      <c r="G881" s="108"/>
      <c r="H881" s="108"/>
      <c r="I881" s="190"/>
      <c r="J881" s="108"/>
      <c r="K881" s="106"/>
      <c r="L881" s="107"/>
      <c r="M881" s="107"/>
      <c r="N881" s="106"/>
      <c r="O881" s="106"/>
      <c r="Q881" s="271"/>
      <c r="R881" s="16"/>
      <c r="S881" s="27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08"/>
      <c r="C882" s="170"/>
      <c r="D882" s="141"/>
      <c r="E882" s="109"/>
      <c r="F882" s="109"/>
      <c r="G882" s="108"/>
      <c r="H882" s="108"/>
      <c r="I882" s="190"/>
      <c r="J882" s="108"/>
      <c r="K882" s="106"/>
      <c r="L882" s="107"/>
      <c r="M882" s="107"/>
      <c r="N882" s="106"/>
      <c r="O882" s="106"/>
      <c r="Q882" s="271"/>
      <c r="R882" s="16"/>
      <c r="S882" s="27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08"/>
      <c r="C883" s="170"/>
      <c r="D883" s="141"/>
      <c r="E883" s="109"/>
      <c r="F883" s="109"/>
      <c r="G883" s="108"/>
      <c r="H883" s="108"/>
      <c r="I883" s="190"/>
      <c r="J883" s="108"/>
      <c r="K883" s="106"/>
      <c r="L883" s="107"/>
      <c r="M883" s="107"/>
      <c r="N883" s="106"/>
      <c r="O883" s="106"/>
      <c r="Q883" s="271"/>
      <c r="R883" s="16"/>
      <c r="S883" s="27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08"/>
      <c r="C884" s="170"/>
      <c r="D884" s="141"/>
      <c r="E884" s="109"/>
      <c r="F884" s="109"/>
      <c r="G884" s="108"/>
      <c r="H884" s="108"/>
      <c r="I884" s="190"/>
      <c r="J884" s="108"/>
      <c r="K884" s="106"/>
      <c r="L884" s="107"/>
      <c r="M884" s="107"/>
      <c r="N884" s="106"/>
      <c r="O884" s="106"/>
      <c r="Q884" s="271"/>
      <c r="R884" s="16"/>
      <c r="S884" s="27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08"/>
      <c r="C885" s="170"/>
      <c r="D885" s="141"/>
      <c r="E885" s="109"/>
      <c r="F885" s="109"/>
      <c r="G885" s="108"/>
      <c r="H885" s="108"/>
      <c r="I885" s="190"/>
      <c r="J885" s="108"/>
      <c r="K885" s="106"/>
      <c r="L885" s="107"/>
      <c r="M885" s="107"/>
      <c r="N885" s="106"/>
      <c r="O885" s="106"/>
      <c r="Q885" s="271"/>
      <c r="R885" s="16"/>
      <c r="S885" s="27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08"/>
      <c r="C886" s="170"/>
      <c r="D886" s="141"/>
      <c r="E886" s="109"/>
      <c r="F886" s="109"/>
      <c r="G886" s="108"/>
      <c r="H886" s="108"/>
      <c r="I886" s="190"/>
      <c r="J886" s="108"/>
      <c r="K886" s="106"/>
      <c r="L886" s="107"/>
      <c r="M886" s="107"/>
      <c r="N886" s="106"/>
      <c r="O886" s="106"/>
      <c r="Q886" s="271"/>
      <c r="R886" s="16"/>
      <c r="S886" s="27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08"/>
      <c r="C887" s="170"/>
      <c r="D887" s="141"/>
      <c r="E887" s="109"/>
      <c r="F887" s="109"/>
      <c r="G887" s="108"/>
      <c r="H887" s="108"/>
      <c r="I887" s="190"/>
      <c r="J887" s="108"/>
      <c r="K887" s="106"/>
      <c r="L887" s="107"/>
      <c r="M887" s="107"/>
      <c r="N887" s="106"/>
      <c r="O887" s="106"/>
      <c r="Q887" s="271"/>
      <c r="R887" s="16"/>
      <c r="S887" s="27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08"/>
      <c r="C888" s="170"/>
      <c r="D888" s="141"/>
      <c r="E888" s="109"/>
      <c r="F888" s="109"/>
      <c r="G888" s="108"/>
      <c r="H888" s="108"/>
      <c r="I888" s="190"/>
      <c r="J888" s="108"/>
      <c r="K888" s="106"/>
      <c r="L888" s="107"/>
      <c r="M888" s="107"/>
      <c r="N888" s="106"/>
      <c r="O888" s="106"/>
      <c r="Q888" s="271"/>
      <c r="R888" s="16"/>
      <c r="S888" s="27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08"/>
      <c r="C889" s="170"/>
      <c r="D889" s="141"/>
      <c r="E889" s="109"/>
      <c r="F889" s="109"/>
      <c r="G889" s="108"/>
      <c r="H889" s="108"/>
      <c r="I889" s="190"/>
      <c r="J889" s="108"/>
      <c r="K889" s="106"/>
      <c r="L889" s="107"/>
      <c r="M889" s="107"/>
      <c r="N889" s="106"/>
      <c r="O889" s="106"/>
      <c r="Q889" s="271"/>
      <c r="R889" s="16"/>
      <c r="S889" s="27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08"/>
      <c r="C890" s="170"/>
      <c r="D890" s="141"/>
      <c r="E890" s="109"/>
      <c r="F890" s="109"/>
      <c r="G890" s="108"/>
      <c r="H890" s="108"/>
      <c r="I890" s="190"/>
      <c r="J890" s="108"/>
      <c r="K890" s="106"/>
      <c r="L890" s="107"/>
      <c r="M890" s="107"/>
      <c r="N890" s="106"/>
      <c r="O890" s="106"/>
      <c r="Q890" s="271"/>
      <c r="R890" s="16"/>
      <c r="S890" s="27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08"/>
      <c r="C891" s="170"/>
      <c r="D891" s="141"/>
      <c r="E891" s="109"/>
      <c r="F891" s="109"/>
      <c r="G891" s="108"/>
      <c r="H891" s="108"/>
      <c r="I891" s="190"/>
      <c r="J891" s="108"/>
      <c r="K891" s="106"/>
      <c r="L891" s="107"/>
      <c r="M891" s="107"/>
      <c r="N891" s="106"/>
      <c r="O891" s="106"/>
      <c r="Q891" s="271"/>
      <c r="R891" s="16"/>
      <c r="S891" s="27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08"/>
      <c r="C892" s="170"/>
      <c r="D892" s="141"/>
      <c r="E892" s="109"/>
      <c r="F892" s="109"/>
      <c r="G892" s="108"/>
      <c r="H892" s="108"/>
      <c r="I892" s="190"/>
      <c r="J892" s="108"/>
      <c r="K892" s="106"/>
      <c r="L892" s="107"/>
      <c r="M892" s="107"/>
      <c r="N892" s="106"/>
      <c r="O892" s="106"/>
      <c r="Q892" s="271"/>
      <c r="R892" s="16"/>
      <c r="S892" s="27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08"/>
      <c r="C893" s="170"/>
      <c r="D893" s="141"/>
      <c r="E893" s="109"/>
      <c r="F893" s="109"/>
      <c r="G893" s="108"/>
      <c r="H893" s="108"/>
      <c r="I893" s="190"/>
      <c r="J893" s="108"/>
      <c r="K893" s="106"/>
      <c r="L893" s="107"/>
      <c r="M893" s="107"/>
      <c r="N893" s="106"/>
      <c r="O893" s="106"/>
      <c r="Q893" s="271"/>
      <c r="R893" s="16"/>
      <c r="S893" s="27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08"/>
      <c r="C894" s="170"/>
      <c r="D894" s="141"/>
      <c r="E894" s="109"/>
      <c r="F894" s="109"/>
      <c r="G894" s="108"/>
      <c r="H894" s="108"/>
      <c r="I894" s="190"/>
      <c r="J894" s="108"/>
      <c r="K894" s="106"/>
      <c r="L894" s="107"/>
      <c r="M894" s="107"/>
      <c r="N894" s="106"/>
      <c r="O894" s="106"/>
      <c r="Q894" s="271"/>
      <c r="R894" s="16"/>
      <c r="S894" s="27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08"/>
      <c r="C895" s="170"/>
      <c r="D895" s="141"/>
      <c r="E895" s="109"/>
      <c r="F895" s="109"/>
      <c r="G895" s="108"/>
      <c r="H895" s="108"/>
      <c r="I895" s="190"/>
      <c r="J895" s="108"/>
      <c r="K895" s="106"/>
      <c r="L895" s="107"/>
      <c r="M895" s="107"/>
      <c r="N895" s="106"/>
      <c r="O895" s="106"/>
      <c r="Q895" s="271"/>
      <c r="R895" s="16"/>
      <c r="S895" s="27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08"/>
      <c r="C896" s="170"/>
      <c r="D896" s="141"/>
      <c r="E896" s="109"/>
      <c r="F896" s="109"/>
      <c r="G896" s="108"/>
      <c r="H896" s="108"/>
      <c r="I896" s="190"/>
      <c r="J896" s="108"/>
      <c r="K896" s="106"/>
      <c r="L896" s="107"/>
      <c r="M896" s="107"/>
      <c r="N896" s="106"/>
      <c r="O896" s="106"/>
      <c r="Q896" s="271"/>
      <c r="R896" s="16"/>
      <c r="S896" s="27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08"/>
      <c r="C897" s="170"/>
      <c r="D897" s="141"/>
      <c r="E897" s="109"/>
      <c r="F897" s="109"/>
      <c r="G897" s="108"/>
      <c r="H897" s="108"/>
      <c r="I897" s="190"/>
      <c r="J897" s="108"/>
      <c r="K897" s="106"/>
      <c r="L897" s="107"/>
      <c r="M897" s="107"/>
      <c r="N897" s="106"/>
      <c r="O897" s="106"/>
      <c r="Q897" s="271"/>
      <c r="R897" s="16"/>
      <c r="S897" s="27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08"/>
      <c r="C898" s="170"/>
      <c r="D898" s="141"/>
      <c r="E898" s="109"/>
      <c r="F898" s="109"/>
      <c r="G898" s="108"/>
      <c r="H898" s="108"/>
      <c r="I898" s="190"/>
      <c r="J898" s="108"/>
      <c r="K898" s="106"/>
      <c r="L898" s="107"/>
      <c r="M898" s="107"/>
      <c r="N898" s="106"/>
      <c r="O898" s="106"/>
      <c r="Q898" s="271"/>
      <c r="R898" s="16"/>
      <c r="S898" s="27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08"/>
      <c r="C899" s="170"/>
      <c r="D899" s="141"/>
      <c r="E899" s="109"/>
      <c r="F899" s="109"/>
      <c r="G899" s="108"/>
      <c r="H899" s="108"/>
      <c r="I899" s="190"/>
      <c r="J899" s="108"/>
      <c r="K899" s="106"/>
      <c r="L899" s="107"/>
      <c r="M899" s="107"/>
      <c r="N899" s="106"/>
      <c r="O899" s="106"/>
      <c r="Q899" s="271"/>
      <c r="R899" s="16"/>
      <c r="S899" s="27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08"/>
      <c r="C900" s="170"/>
      <c r="D900" s="141"/>
      <c r="E900" s="109"/>
      <c r="F900" s="109"/>
      <c r="G900" s="108"/>
      <c r="H900" s="108"/>
      <c r="I900" s="190"/>
      <c r="J900" s="108"/>
      <c r="K900" s="106"/>
      <c r="L900" s="107"/>
      <c r="M900" s="107"/>
      <c r="N900" s="106"/>
      <c r="O900" s="106"/>
      <c r="Q900" s="271"/>
      <c r="R900" s="16"/>
      <c r="S900" s="27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08"/>
      <c r="C901" s="170"/>
      <c r="D901" s="141"/>
      <c r="E901" s="109"/>
      <c r="F901" s="109"/>
      <c r="G901" s="108"/>
      <c r="H901" s="108"/>
      <c r="I901" s="190"/>
      <c r="J901" s="108"/>
      <c r="K901" s="106"/>
      <c r="L901" s="107"/>
      <c r="M901" s="107"/>
      <c r="N901" s="106"/>
      <c r="O901" s="106"/>
      <c r="Q901" s="271"/>
      <c r="R901" s="16"/>
      <c r="S901" s="27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08"/>
      <c r="C902" s="170"/>
      <c r="D902" s="141"/>
      <c r="E902" s="109"/>
      <c r="F902" s="109"/>
      <c r="G902" s="108"/>
      <c r="H902" s="108"/>
      <c r="I902" s="190"/>
      <c r="J902" s="108"/>
      <c r="K902" s="106"/>
      <c r="L902" s="107"/>
      <c r="M902" s="107"/>
      <c r="N902" s="106"/>
      <c r="O902" s="106"/>
      <c r="Q902" s="271"/>
      <c r="R902" s="16"/>
      <c r="S902" s="27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08"/>
      <c r="C903" s="170"/>
      <c r="D903" s="141"/>
      <c r="E903" s="109"/>
      <c r="F903" s="109"/>
      <c r="G903" s="108"/>
      <c r="H903" s="108"/>
      <c r="I903" s="190"/>
      <c r="J903" s="108"/>
      <c r="K903" s="106"/>
      <c r="L903" s="107"/>
      <c r="M903" s="107"/>
      <c r="N903" s="106"/>
      <c r="O903" s="106"/>
      <c r="Q903" s="271"/>
      <c r="R903" s="16"/>
      <c r="S903" s="27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08"/>
      <c r="C904" s="170"/>
      <c r="D904" s="141"/>
      <c r="E904" s="109"/>
      <c r="F904" s="109"/>
      <c r="G904" s="108"/>
      <c r="H904" s="108"/>
      <c r="I904" s="190"/>
      <c r="J904" s="108"/>
      <c r="K904" s="106"/>
      <c r="L904" s="107"/>
      <c r="M904" s="107"/>
      <c r="N904" s="106"/>
      <c r="O904" s="106"/>
      <c r="Q904" s="271"/>
      <c r="R904" s="16"/>
      <c r="S904" s="27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08"/>
      <c r="C905" s="170"/>
      <c r="D905" s="141"/>
      <c r="E905" s="109"/>
      <c r="F905" s="109"/>
      <c r="G905" s="108"/>
      <c r="H905" s="108"/>
      <c r="I905" s="190"/>
      <c r="J905" s="108"/>
      <c r="K905" s="106"/>
      <c r="L905" s="107"/>
      <c r="M905" s="107"/>
      <c r="N905" s="106"/>
      <c r="O905" s="106"/>
      <c r="Q905" s="271"/>
      <c r="R905" s="16"/>
      <c r="S905" s="27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08"/>
      <c r="C906" s="170"/>
      <c r="D906" s="141"/>
      <c r="E906" s="109"/>
      <c r="F906" s="109"/>
      <c r="G906" s="108"/>
      <c r="H906" s="108"/>
      <c r="I906" s="190"/>
      <c r="J906" s="108"/>
      <c r="K906" s="106"/>
      <c r="L906" s="107"/>
      <c r="M906" s="107"/>
      <c r="N906" s="106"/>
      <c r="O906" s="106"/>
      <c r="Q906" s="271"/>
      <c r="R906" s="16"/>
      <c r="S906" s="27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08"/>
      <c r="C907" s="170"/>
      <c r="D907" s="141"/>
      <c r="E907" s="109"/>
      <c r="F907" s="109"/>
      <c r="G907" s="108"/>
      <c r="H907" s="108"/>
      <c r="I907" s="190"/>
      <c r="J907" s="108"/>
      <c r="K907" s="106"/>
      <c r="L907" s="107"/>
      <c r="M907" s="107"/>
      <c r="N907" s="106"/>
      <c r="O907" s="106"/>
      <c r="Q907" s="271"/>
      <c r="R907" s="16"/>
      <c r="S907" s="27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08"/>
      <c r="C908" s="170"/>
      <c r="D908" s="141"/>
      <c r="E908" s="109"/>
      <c r="F908" s="109"/>
      <c r="G908" s="108"/>
      <c r="H908" s="108"/>
      <c r="I908" s="190"/>
      <c r="J908" s="108"/>
      <c r="K908" s="106"/>
      <c r="L908" s="107"/>
      <c r="M908" s="107"/>
      <c r="N908" s="106"/>
      <c r="O908" s="106"/>
      <c r="Q908" s="271"/>
      <c r="R908" s="16"/>
      <c r="S908" s="27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08"/>
      <c r="C909" s="170"/>
      <c r="D909" s="141"/>
      <c r="E909" s="109"/>
      <c r="F909" s="109"/>
      <c r="G909" s="108"/>
      <c r="H909" s="108"/>
      <c r="I909" s="190"/>
      <c r="J909" s="108"/>
      <c r="K909" s="106"/>
      <c r="L909" s="107"/>
      <c r="M909" s="107"/>
      <c r="N909" s="106"/>
      <c r="O909" s="106"/>
      <c r="Q909" s="271"/>
      <c r="R909" s="16"/>
      <c r="S909" s="27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08"/>
      <c r="C910" s="170"/>
      <c r="D910" s="141"/>
      <c r="E910" s="109"/>
      <c r="F910" s="109"/>
      <c r="G910" s="108"/>
      <c r="H910" s="108"/>
      <c r="I910" s="190"/>
      <c r="J910" s="108"/>
      <c r="K910" s="106"/>
      <c r="L910" s="107"/>
      <c r="M910" s="107"/>
      <c r="N910" s="106"/>
      <c r="O910" s="106"/>
      <c r="Q910" s="271"/>
      <c r="R910" s="16"/>
      <c r="S910" s="27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08"/>
      <c r="C911" s="170"/>
      <c r="D911" s="141"/>
      <c r="E911" s="109"/>
      <c r="F911" s="109"/>
      <c r="G911" s="108"/>
      <c r="H911" s="108"/>
      <c r="I911" s="190"/>
      <c r="J911" s="108"/>
      <c r="K911" s="106"/>
      <c r="L911" s="107"/>
      <c r="M911" s="107"/>
      <c r="N911" s="106"/>
      <c r="O911" s="106"/>
      <c r="Q911" s="271"/>
      <c r="R911" s="16"/>
      <c r="S911" s="27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08"/>
      <c r="C912" s="170"/>
      <c r="D912" s="141"/>
      <c r="E912" s="109"/>
      <c r="F912" s="109"/>
      <c r="G912" s="108"/>
      <c r="H912" s="108"/>
      <c r="I912" s="190"/>
      <c r="J912" s="108"/>
      <c r="K912" s="106"/>
      <c r="L912" s="107"/>
      <c r="M912" s="107"/>
      <c r="N912" s="106"/>
      <c r="O912" s="106"/>
      <c r="Q912" s="271"/>
      <c r="R912" s="16"/>
      <c r="S912" s="27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08"/>
      <c r="C913" s="170"/>
      <c r="D913" s="141"/>
      <c r="E913" s="109"/>
      <c r="F913" s="109"/>
      <c r="G913" s="108"/>
      <c r="H913" s="108"/>
      <c r="I913" s="190"/>
      <c r="J913" s="108"/>
      <c r="K913" s="106"/>
      <c r="L913" s="107"/>
      <c r="M913" s="107"/>
      <c r="N913" s="106"/>
      <c r="O913" s="106"/>
      <c r="Q913" s="271"/>
      <c r="R913" s="16"/>
      <c r="S913" s="27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08"/>
      <c r="C914" s="170"/>
      <c r="D914" s="141"/>
      <c r="E914" s="109"/>
      <c r="F914" s="109"/>
      <c r="G914" s="108"/>
      <c r="H914" s="108"/>
      <c r="I914" s="190"/>
      <c r="J914" s="108"/>
      <c r="K914" s="106"/>
      <c r="L914" s="107"/>
      <c r="M914" s="107"/>
      <c r="N914" s="106"/>
      <c r="O914" s="106"/>
      <c r="Q914" s="271"/>
      <c r="R914" s="16"/>
      <c r="S914" s="27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08"/>
      <c r="C915" s="170"/>
      <c r="D915" s="141"/>
      <c r="E915" s="109"/>
      <c r="F915" s="109"/>
      <c r="G915" s="108"/>
      <c r="H915" s="108"/>
      <c r="I915" s="190"/>
      <c r="J915" s="108"/>
      <c r="K915" s="106"/>
      <c r="L915" s="107"/>
      <c r="M915" s="107"/>
      <c r="N915" s="106"/>
      <c r="O915" s="106"/>
      <c r="Q915" s="271"/>
      <c r="R915" s="16"/>
      <c r="S915" s="27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08"/>
      <c r="C916" s="170"/>
      <c r="D916" s="141"/>
      <c r="E916" s="109"/>
      <c r="F916" s="109"/>
      <c r="G916" s="108"/>
      <c r="H916" s="108"/>
      <c r="I916" s="190"/>
      <c r="J916" s="108"/>
      <c r="K916" s="106"/>
      <c r="L916" s="107"/>
      <c r="M916" s="107"/>
      <c r="N916" s="106"/>
      <c r="O916" s="106"/>
      <c r="Q916" s="271"/>
      <c r="R916" s="16"/>
      <c r="S916" s="27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08"/>
      <c r="C917" s="170"/>
      <c r="D917" s="141"/>
      <c r="E917" s="109"/>
      <c r="F917" s="109"/>
      <c r="G917" s="108"/>
      <c r="H917" s="108"/>
      <c r="I917" s="190"/>
      <c r="J917" s="108"/>
      <c r="K917" s="106"/>
      <c r="L917" s="107"/>
      <c r="M917" s="107"/>
      <c r="N917" s="106"/>
      <c r="O917" s="106"/>
      <c r="Q917" s="271"/>
      <c r="R917" s="16"/>
      <c r="S917" s="27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08"/>
      <c r="C918" s="170"/>
      <c r="D918" s="141"/>
      <c r="E918" s="109"/>
      <c r="F918" s="109"/>
      <c r="G918" s="108"/>
      <c r="H918" s="108"/>
      <c r="I918" s="190"/>
      <c r="J918" s="108"/>
      <c r="K918" s="106"/>
      <c r="L918" s="107"/>
      <c r="M918" s="107"/>
      <c r="N918" s="106"/>
      <c r="O918" s="106"/>
      <c r="Q918" s="271"/>
      <c r="R918" s="16"/>
      <c r="S918" s="27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08"/>
      <c r="C919" s="170"/>
      <c r="D919" s="141"/>
      <c r="E919" s="109"/>
      <c r="F919" s="109"/>
      <c r="G919" s="108"/>
      <c r="H919" s="108"/>
      <c r="I919" s="190"/>
      <c r="J919" s="108"/>
      <c r="K919" s="106"/>
      <c r="L919" s="107"/>
      <c r="M919" s="107"/>
      <c r="N919" s="106"/>
      <c r="O919" s="106"/>
      <c r="Q919" s="271"/>
      <c r="R919" s="16"/>
      <c r="S919" s="27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08"/>
      <c r="C920" s="170"/>
      <c r="D920" s="141"/>
      <c r="E920" s="109"/>
      <c r="F920" s="109"/>
      <c r="G920" s="108"/>
      <c r="H920" s="108"/>
      <c r="I920" s="190"/>
      <c r="J920" s="108"/>
      <c r="K920" s="106"/>
      <c r="L920" s="107"/>
      <c r="M920" s="107"/>
      <c r="N920" s="106"/>
      <c r="O920" s="106"/>
      <c r="Q920" s="271"/>
      <c r="R920" s="16"/>
      <c r="S920" s="27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08"/>
      <c r="C921" s="170"/>
      <c r="D921" s="141"/>
      <c r="E921" s="109"/>
      <c r="F921" s="109"/>
      <c r="G921" s="108"/>
      <c r="H921" s="108"/>
      <c r="I921" s="190"/>
      <c r="J921" s="108"/>
      <c r="K921" s="106"/>
      <c r="L921" s="107"/>
      <c r="M921" s="107"/>
      <c r="N921" s="106"/>
      <c r="O921" s="106"/>
      <c r="Q921" s="271"/>
      <c r="R921" s="16"/>
      <c r="S921" s="27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08"/>
      <c r="C922" s="170"/>
      <c r="D922" s="141"/>
      <c r="E922" s="109"/>
      <c r="F922" s="109"/>
      <c r="G922" s="108"/>
      <c r="H922" s="108"/>
      <c r="I922" s="190"/>
      <c r="J922" s="108"/>
      <c r="K922" s="106"/>
      <c r="L922" s="107"/>
      <c r="M922" s="107"/>
      <c r="N922" s="106"/>
      <c r="O922" s="106"/>
      <c r="Q922" s="271"/>
      <c r="R922" s="16"/>
      <c r="S922" s="27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08"/>
      <c r="C923" s="170"/>
      <c r="D923" s="141"/>
      <c r="E923" s="109"/>
      <c r="F923" s="109"/>
      <c r="G923" s="108"/>
      <c r="H923" s="108"/>
      <c r="I923" s="190"/>
      <c r="J923" s="108"/>
      <c r="K923" s="106"/>
      <c r="L923" s="107"/>
      <c r="M923" s="107"/>
      <c r="N923" s="106"/>
      <c r="O923" s="106"/>
      <c r="Q923" s="271"/>
      <c r="R923" s="16"/>
      <c r="S923" s="27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08"/>
      <c r="C924" s="170"/>
      <c r="D924" s="141"/>
      <c r="E924" s="109"/>
      <c r="F924" s="109"/>
      <c r="G924" s="108"/>
      <c r="H924" s="108"/>
      <c r="I924" s="190"/>
      <c r="J924" s="108"/>
      <c r="K924" s="106"/>
      <c r="L924" s="107"/>
      <c r="M924" s="107"/>
      <c r="N924" s="106"/>
      <c r="O924" s="106"/>
      <c r="Q924" s="271"/>
      <c r="R924" s="16"/>
      <c r="S924" s="27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08"/>
      <c r="C925" s="170"/>
      <c r="D925" s="141"/>
      <c r="E925" s="109"/>
      <c r="F925" s="109"/>
      <c r="G925" s="108"/>
      <c r="H925" s="108"/>
      <c r="I925" s="190"/>
      <c r="J925" s="108"/>
      <c r="K925" s="106"/>
      <c r="L925" s="107"/>
      <c r="M925" s="107"/>
      <c r="N925" s="106"/>
      <c r="O925" s="106"/>
      <c r="Q925" s="271"/>
      <c r="R925" s="16"/>
      <c r="S925" s="27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08"/>
      <c r="C926" s="170"/>
      <c r="D926" s="141"/>
      <c r="E926" s="109"/>
      <c r="F926" s="109"/>
      <c r="G926" s="108"/>
      <c r="H926" s="108"/>
      <c r="I926" s="190"/>
      <c r="J926" s="108"/>
      <c r="K926" s="106"/>
      <c r="L926" s="107"/>
      <c r="M926" s="107"/>
      <c r="N926" s="106"/>
      <c r="O926" s="106"/>
      <c r="Q926" s="271"/>
      <c r="R926" s="16"/>
      <c r="S926" s="27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08"/>
      <c r="C927" s="170"/>
      <c r="D927" s="141"/>
      <c r="E927" s="109"/>
      <c r="F927" s="109"/>
      <c r="G927" s="108"/>
      <c r="H927" s="108"/>
      <c r="I927" s="190"/>
      <c r="J927" s="108"/>
      <c r="K927" s="106"/>
      <c r="L927" s="107"/>
      <c r="M927" s="107"/>
      <c r="N927" s="106"/>
      <c r="O927" s="106"/>
      <c r="Q927" s="271"/>
      <c r="R927" s="16"/>
      <c r="S927" s="27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08"/>
      <c r="C928" s="170"/>
      <c r="D928" s="141"/>
      <c r="E928" s="109"/>
      <c r="F928" s="109"/>
      <c r="G928" s="108"/>
      <c r="H928" s="108"/>
      <c r="I928" s="190"/>
      <c r="J928" s="108"/>
      <c r="K928" s="106"/>
      <c r="L928" s="107"/>
      <c r="M928" s="107"/>
      <c r="N928" s="106"/>
      <c r="O928" s="106"/>
      <c r="Q928" s="271"/>
      <c r="R928" s="16"/>
      <c r="S928" s="27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08"/>
      <c r="C929" s="170"/>
      <c r="D929" s="141"/>
      <c r="E929" s="109"/>
      <c r="F929" s="109"/>
      <c r="G929" s="108"/>
      <c r="H929" s="108"/>
      <c r="I929" s="190"/>
      <c r="J929" s="108"/>
      <c r="K929" s="106"/>
      <c r="L929" s="107"/>
      <c r="M929" s="107"/>
      <c r="N929" s="106"/>
      <c r="O929" s="106"/>
      <c r="Q929" s="271"/>
      <c r="R929" s="16"/>
      <c r="S929" s="27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08"/>
      <c r="C930" s="170"/>
      <c r="D930" s="141"/>
      <c r="E930" s="109"/>
      <c r="F930" s="109"/>
      <c r="G930" s="108"/>
      <c r="H930" s="108"/>
      <c r="I930" s="190"/>
      <c r="J930" s="108"/>
      <c r="K930" s="106"/>
      <c r="L930" s="107"/>
      <c r="M930" s="107"/>
      <c r="N930" s="106"/>
      <c r="O930" s="106"/>
      <c r="Q930" s="271"/>
      <c r="R930" s="16"/>
      <c r="S930" s="27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08"/>
      <c r="C931" s="170"/>
      <c r="D931" s="141"/>
      <c r="E931" s="109"/>
      <c r="F931" s="109"/>
      <c r="G931" s="108"/>
      <c r="H931" s="108"/>
      <c r="I931" s="190"/>
      <c r="J931" s="108"/>
      <c r="K931" s="106"/>
      <c r="L931" s="107"/>
      <c r="M931" s="107"/>
      <c r="N931" s="106"/>
      <c r="O931" s="106"/>
      <c r="Q931" s="271"/>
      <c r="R931" s="16"/>
      <c r="S931" s="27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08"/>
      <c r="C932" s="170"/>
      <c r="D932" s="141"/>
      <c r="E932" s="109"/>
      <c r="F932" s="109"/>
      <c r="G932" s="108"/>
      <c r="H932" s="108"/>
      <c r="I932" s="190"/>
      <c r="J932" s="108"/>
      <c r="K932" s="106"/>
      <c r="L932" s="107"/>
      <c r="M932" s="107"/>
      <c r="N932" s="106"/>
      <c r="O932" s="106"/>
      <c r="Q932" s="271"/>
      <c r="R932" s="16"/>
      <c r="S932" s="27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08"/>
      <c r="C933" s="170"/>
      <c r="D933" s="141"/>
      <c r="E933" s="109"/>
      <c r="F933" s="109"/>
      <c r="G933" s="108"/>
      <c r="H933" s="108"/>
      <c r="I933" s="190"/>
      <c r="J933" s="108"/>
      <c r="K933" s="106"/>
      <c r="L933" s="107"/>
      <c r="M933" s="107"/>
      <c r="N933" s="106"/>
      <c r="O933" s="106"/>
      <c r="Q933" s="271"/>
      <c r="R933" s="16"/>
      <c r="S933" s="27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08"/>
      <c r="C934" s="170"/>
      <c r="D934" s="141"/>
      <c r="E934" s="109"/>
      <c r="F934" s="109"/>
      <c r="G934" s="108"/>
      <c r="H934" s="108"/>
      <c r="I934" s="190"/>
      <c r="J934" s="108"/>
      <c r="K934" s="106"/>
      <c r="L934" s="107"/>
      <c r="M934" s="107"/>
      <c r="N934" s="106"/>
      <c r="O934" s="106"/>
      <c r="Q934" s="271"/>
      <c r="R934" s="16"/>
      <c r="S934" s="27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08"/>
      <c r="C935" s="170"/>
      <c r="D935" s="141"/>
      <c r="E935" s="109"/>
      <c r="F935" s="109"/>
      <c r="G935" s="108"/>
      <c r="H935" s="108"/>
      <c r="I935" s="190"/>
      <c r="J935" s="108"/>
      <c r="K935" s="106"/>
      <c r="L935" s="107"/>
      <c r="M935" s="107"/>
      <c r="N935" s="106"/>
      <c r="O935" s="106"/>
      <c r="Q935" s="271"/>
      <c r="R935" s="16"/>
      <c r="S935" s="27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08"/>
      <c r="C936" s="170"/>
      <c r="D936" s="141"/>
      <c r="E936" s="109"/>
      <c r="F936" s="109"/>
      <c r="G936" s="108"/>
      <c r="H936" s="108"/>
      <c r="I936" s="190"/>
      <c r="J936" s="108"/>
      <c r="K936" s="106"/>
      <c r="L936" s="107"/>
      <c r="M936" s="107"/>
      <c r="N936" s="106"/>
      <c r="O936" s="106"/>
      <c r="Q936" s="271"/>
      <c r="R936" s="16"/>
      <c r="S936" s="27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08"/>
      <c r="C937" s="170"/>
      <c r="D937" s="141"/>
      <c r="E937" s="109"/>
      <c r="F937" s="109"/>
      <c r="G937" s="108"/>
      <c r="H937" s="108"/>
      <c r="I937" s="190"/>
      <c r="J937" s="108"/>
      <c r="K937" s="106"/>
      <c r="L937" s="107"/>
      <c r="M937" s="107"/>
      <c r="N937" s="106"/>
      <c r="O937" s="106"/>
      <c r="Q937" s="271"/>
      <c r="R937" s="16"/>
      <c r="S937" s="27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08"/>
      <c r="C938" s="170"/>
      <c r="D938" s="141"/>
      <c r="E938" s="109"/>
      <c r="F938" s="109"/>
      <c r="G938" s="108"/>
      <c r="H938" s="108"/>
      <c r="I938" s="190"/>
      <c r="J938" s="108"/>
      <c r="K938" s="106"/>
      <c r="L938" s="107"/>
      <c r="M938" s="107"/>
      <c r="N938" s="106"/>
      <c r="O938" s="106"/>
      <c r="Q938" s="271"/>
      <c r="R938" s="16"/>
      <c r="S938" s="27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08"/>
      <c r="C939" s="170"/>
      <c r="D939" s="141"/>
      <c r="E939" s="109"/>
      <c r="F939" s="109"/>
      <c r="G939" s="108"/>
      <c r="H939" s="108"/>
      <c r="I939" s="190"/>
      <c r="J939" s="108"/>
      <c r="K939" s="106"/>
      <c r="L939" s="107"/>
      <c r="M939" s="107"/>
      <c r="N939" s="106"/>
      <c r="O939" s="106"/>
      <c r="Q939" s="271"/>
      <c r="R939" s="16"/>
      <c r="S939" s="27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08"/>
      <c r="C940" s="170"/>
      <c r="D940" s="141"/>
      <c r="E940" s="109"/>
      <c r="F940" s="109"/>
      <c r="G940" s="108"/>
      <c r="H940" s="108"/>
      <c r="I940" s="190"/>
      <c r="J940" s="108"/>
      <c r="K940" s="106"/>
      <c r="L940" s="107"/>
      <c r="M940" s="107"/>
      <c r="N940" s="106"/>
      <c r="O940" s="106"/>
      <c r="Q940" s="271"/>
      <c r="R940" s="16"/>
      <c r="S940" s="27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08"/>
      <c r="C941" s="170"/>
      <c r="D941" s="141"/>
      <c r="E941" s="109"/>
      <c r="F941" s="109"/>
      <c r="G941" s="108"/>
      <c r="H941" s="108"/>
      <c r="I941" s="190"/>
      <c r="J941" s="108"/>
      <c r="K941" s="106"/>
      <c r="L941" s="107"/>
      <c r="M941" s="107"/>
      <c r="N941" s="106"/>
      <c r="O941" s="106"/>
      <c r="Q941" s="271"/>
      <c r="R941" s="16"/>
      <c r="S941" s="27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08"/>
      <c r="C942" s="170"/>
      <c r="D942" s="141"/>
      <c r="E942" s="109"/>
      <c r="F942" s="109"/>
      <c r="G942" s="108"/>
      <c r="H942" s="108"/>
      <c r="I942" s="190"/>
      <c r="J942" s="108"/>
      <c r="K942" s="106"/>
      <c r="L942" s="107"/>
      <c r="M942" s="107"/>
      <c r="N942" s="106"/>
      <c r="O942" s="106"/>
      <c r="Q942" s="271"/>
      <c r="R942" s="16"/>
      <c r="S942" s="27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08"/>
      <c r="C943" s="170"/>
      <c r="D943" s="141"/>
      <c r="E943" s="109"/>
      <c r="F943" s="109"/>
      <c r="G943" s="108"/>
      <c r="H943" s="108"/>
      <c r="I943" s="190"/>
      <c r="J943" s="108"/>
      <c r="K943" s="106"/>
      <c r="L943" s="107"/>
      <c r="M943" s="107"/>
      <c r="N943" s="106"/>
      <c r="O943" s="106"/>
      <c r="Q943" s="271"/>
      <c r="R943" s="16"/>
      <c r="S943" s="27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08"/>
      <c r="C944" s="170"/>
      <c r="D944" s="141"/>
      <c r="E944" s="109"/>
      <c r="F944" s="109"/>
      <c r="G944" s="108"/>
      <c r="H944" s="108"/>
      <c r="I944" s="190"/>
      <c r="J944" s="108"/>
      <c r="K944" s="106"/>
      <c r="L944" s="107"/>
      <c r="M944" s="107"/>
      <c r="N944" s="106"/>
      <c r="O944" s="106"/>
      <c r="Q944" s="271"/>
      <c r="R944" s="16"/>
      <c r="S944" s="27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08"/>
      <c r="C945" s="170"/>
      <c r="D945" s="141"/>
      <c r="E945" s="109"/>
      <c r="F945" s="109"/>
      <c r="G945" s="108"/>
      <c r="H945" s="108"/>
      <c r="I945" s="190"/>
      <c r="J945" s="108"/>
      <c r="K945" s="106"/>
      <c r="L945" s="107"/>
      <c r="M945" s="107"/>
      <c r="N945" s="106"/>
      <c r="O945" s="106"/>
      <c r="Q945" s="271"/>
      <c r="R945" s="16"/>
      <c r="S945" s="27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08"/>
      <c r="C946" s="170"/>
      <c r="D946" s="141"/>
      <c r="E946" s="109"/>
      <c r="F946" s="109"/>
      <c r="G946" s="108"/>
      <c r="H946" s="108"/>
      <c r="I946" s="190"/>
      <c r="J946" s="108"/>
      <c r="K946" s="106"/>
      <c r="L946" s="107"/>
      <c r="M946" s="107"/>
      <c r="N946" s="106"/>
      <c r="O946" s="106"/>
      <c r="Q946" s="271"/>
      <c r="R946" s="16"/>
      <c r="S946" s="27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08"/>
      <c r="C947" s="170"/>
      <c r="D947" s="141"/>
      <c r="E947" s="109"/>
      <c r="F947" s="109"/>
      <c r="G947" s="108"/>
      <c r="H947" s="108"/>
      <c r="I947" s="190"/>
      <c r="J947" s="108"/>
      <c r="K947" s="106"/>
      <c r="L947" s="107"/>
      <c r="M947" s="107"/>
      <c r="N947" s="106"/>
      <c r="O947" s="106"/>
      <c r="Q947" s="271"/>
      <c r="R947" s="16"/>
      <c r="S947" s="27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08"/>
      <c r="C948" s="170"/>
      <c r="D948" s="141"/>
      <c r="E948" s="109"/>
      <c r="F948" s="109"/>
      <c r="G948" s="108"/>
      <c r="H948" s="108"/>
      <c r="I948" s="190"/>
      <c r="J948" s="108"/>
      <c r="K948" s="106"/>
      <c r="L948" s="107"/>
      <c r="M948" s="107"/>
      <c r="N948" s="106"/>
      <c r="O948" s="106"/>
      <c r="Q948" s="271"/>
      <c r="R948" s="16"/>
      <c r="S948" s="27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08"/>
      <c r="C949" s="170"/>
      <c r="D949" s="141"/>
      <c r="E949" s="109"/>
      <c r="F949" s="109"/>
      <c r="G949" s="108"/>
      <c r="H949" s="108"/>
      <c r="I949" s="190"/>
      <c r="J949" s="108"/>
      <c r="K949" s="106"/>
      <c r="L949" s="107"/>
      <c r="M949" s="107"/>
      <c r="N949" s="106"/>
      <c r="O949" s="106"/>
      <c r="Q949" s="271"/>
      <c r="R949" s="16"/>
      <c r="S949" s="27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08"/>
      <c r="C950" s="170"/>
      <c r="D950" s="141"/>
      <c r="E950" s="109"/>
      <c r="F950" s="109"/>
      <c r="G950" s="108"/>
      <c r="H950" s="108"/>
      <c r="I950" s="190"/>
      <c r="J950" s="108"/>
      <c r="K950" s="106"/>
      <c r="L950" s="107"/>
      <c r="M950" s="107"/>
      <c r="N950" s="106"/>
      <c r="O950" s="106"/>
      <c r="Q950" s="271"/>
      <c r="R950" s="16"/>
      <c r="S950" s="27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08"/>
      <c r="C951" s="170"/>
      <c r="D951" s="141"/>
      <c r="E951" s="109"/>
      <c r="F951" s="109"/>
      <c r="G951" s="108"/>
      <c r="H951" s="108"/>
      <c r="I951" s="190"/>
      <c r="J951" s="108"/>
      <c r="K951" s="106"/>
      <c r="L951" s="107"/>
      <c r="M951" s="107"/>
      <c r="N951" s="106"/>
      <c r="O951" s="106"/>
      <c r="Q951" s="271"/>
      <c r="R951" s="16"/>
      <c r="S951" s="27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08"/>
      <c r="C952" s="170"/>
      <c r="D952" s="141"/>
      <c r="E952" s="109"/>
      <c r="F952" s="109"/>
      <c r="G952" s="108"/>
      <c r="H952" s="108"/>
      <c r="I952" s="190"/>
      <c r="J952" s="108"/>
      <c r="K952" s="106"/>
      <c r="L952" s="107"/>
      <c r="M952" s="107"/>
      <c r="N952" s="106"/>
      <c r="O952" s="106"/>
      <c r="Q952" s="271"/>
      <c r="R952" s="16"/>
      <c r="S952" s="27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08"/>
      <c r="C953" s="170"/>
      <c r="D953" s="141"/>
      <c r="E953" s="109"/>
      <c r="F953" s="109"/>
      <c r="G953" s="108"/>
      <c r="H953" s="108"/>
      <c r="I953" s="190"/>
      <c r="J953" s="108"/>
      <c r="K953" s="106"/>
      <c r="L953" s="107"/>
      <c r="M953" s="107"/>
      <c r="N953" s="106"/>
      <c r="O953" s="106"/>
      <c r="Q953" s="271"/>
      <c r="R953" s="16"/>
      <c r="S953" s="27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08"/>
      <c r="C954" s="170"/>
      <c r="D954" s="141"/>
      <c r="E954" s="109"/>
      <c r="F954" s="109"/>
      <c r="G954" s="108"/>
      <c r="H954" s="108"/>
      <c r="I954" s="190"/>
      <c r="J954" s="108"/>
      <c r="K954" s="106"/>
      <c r="L954" s="107"/>
      <c r="M954" s="107"/>
      <c r="N954" s="106"/>
      <c r="O954" s="106"/>
      <c r="Q954" s="271"/>
      <c r="R954" s="16"/>
      <c r="S954" s="27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08"/>
      <c r="C955" s="170"/>
      <c r="D955" s="141"/>
      <c r="E955" s="109"/>
      <c r="F955" s="109"/>
      <c r="G955" s="108"/>
      <c r="H955" s="108"/>
      <c r="I955" s="190"/>
      <c r="J955" s="108"/>
      <c r="K955" s="106"/>
      <c r="L955" s="107"/>
      <c r="M955" s="107"/>
      <c r="N955" s="106"/>
      <c r="O955" s="106"/>
      <c r="Q955" s="271"/>
      <c r="R955" s="16"/>
      <c r="S955" s="27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08"/>
      <c r="C956" s="170"/>
      <c r="D956" s="141"/>
      <c r="E956" s="109"/>
      <c r="F956" s="109"/>
      <c r="G956" s="108"/>
      <c r="H956" s="108"/>
      <c r="I956" s="190"/>
      <c r="J956" s="108"/>
      <c r="K956" s="106"/>
      <c r="L956" s="107"/>
      <c r="M956" s="107"/>
      <c r="N956" s="106"/>
      <c r="O956" s="106"/>
      <c r="Q956" s="271"/>
      <c r="R956" s="16"/>
      <c r="S956" s="27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08"/>
      <c r="C957" s="170"/>
      <c r="D957" s="141"/>
      <c r="E957" s="109"/>
      <c r="F957" s="109"/>
      <c r="G957" s="108"/>
      <c r="H957" s="108"/>
      <c r="I957" s="190"/>
      <c r="J957" s="108"/>
      <c r="K957" s="106"/>
      <c r="L957" s="107"/>
      <c r="M957" s="107"/>
      <c r="N957" s="106"/>
      <c r="O957" s="106"/>
      <c r="Q957" s="271"/>
      <c r="R957" s="16"/>
      <c r="S957" s="27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08"/>
      <c r="C958" s="170"/>
      <c r="D958" s="141"/>
      <c r="E958" s="109"/>
      <c r="F958" s="109"/>
      <c r="G958" s="108"/>
      <c r="H958" s="108"/>
      <c r="I958" s="190"/>
      <c r="J958" s="108"/>
      <c r="K958" s="106"/>
      <c r="L958" s="107"/>
      <c r="M958" s="107"/>
      <c r="N958" s="106"/>
      <c r="O958" s="106"/>
      <c r="Q958" s="271"/>
      <c r="R958" s="16"/>
      <c r="S958" s="27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08"/>
      <c r="C959" s="170"/>
      <c r="D959" s="141"/>
      <c r="E959" s="109"/>
      <c r="F959" s="109"/>
      <c r="G959" s="108"/>
      <c r="H959" s="108"/>
      <c r="I959" s="190"/>
      <c r="J959" s="108"/>
      <c r="K959" s="106"/>
      <c r="L959" s="107"/>
      <c r="M959" s="107"/>
      <c r="N959" s="106"/>
      <c r="O959" s="106"/>
      <c r="Q959" s="271"/>
      <c r="R959" s="16"/>
      <c r="S959" s="27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08"/>
      <c r="C960" s="170"/>
      <c r="D960" s="141"/>
      <c r="E960" s="109"/>
      <c r="F960" s="109"/>
      <c r="G960" s="108"/>
      <c r="H960" s="108"/>
      <c r="I960" s="190"/>
      <c r="J960" s="108"/>
      <c r="K960" s="106"/>
      <c r="L960" s="107"/>
      <c r="M960" s="107"/>
      <c r="N960" s="106"/>
      <c r="O960" s="106"/>
      <c r="Q960" s="271"/>
      <c r="R960" s="16"/>
      <c r="S960" s="27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08"/>
      <c r="C961" s="170"/>
      <c r="D961" s="141"/>
      <c r="E961" s="109"/>
      <c r="F961" s="109"/>
      <c r="G961" s="108"/>
      <c r="H961" s="108"/>
      <c r="I961" s="190"/>
      <c r="J961" s="108"/>
      <c r="K961" s="106"/>
      <c r="L961" s="107"/>
      <c r="M961" s="107"/>
      <c r="N961" s="106"/>
      <c r="O961" s="106"/>
      <c r="Q961" s="271"/>
      <c r="R961" s="16"/>
      <c r="S961" s="27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08"/>
      <c r="C962" s="170"/>
      <c r="D962" s="141"/>
      <c r="E962" s="109"/>
      <c r="F962" s="109"/>
      <c r="G962" s="108"/>
      <c r="H962" s="108"/>
      <c r="I962" s="190"/>
      <c r="J962" s="108"/>
      <c r="K962" s="106"/>
      <c r="L962" s="107"/>
      <c r="M962" s="107"/>
      <c r="N962" s="106"/>
      <c r="O962" s="106"/>
      <c r="Q962" s="271"/>
      <c r="R962" s="16"/>
      <c r="S962" s="27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08"/>
      <c r="C963" s="170"/>
      <c r="D963" s="141"/>
      <c r="E963" s="109"/>
      <c r="F963" s="109"/>
      <c r="G963" s="108"/>
      <c r="H963" s="108"/>
      <c r="I963" s="190"/>
      <c r="J963" s="108"/>
      <c r="K963" s="106"/>
      <c r="L963" s="107"/>
      <c r="M963" s="107"/>
      <c r="N963" s="106"/>
      <c r="O963" s="106"/>
      <c r="Q963" s="271"/>
      <c r="R963" s="16"/>
      <c r="S963" s="27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08"/>
      <c r="C964" s="170"/>
      <c r="D964" s="141"/>
      <c r="E964" s="109"/>
      <c r="F964" s="109"/>
      <c r="G964" s="108"/>
      <c r="H964" s="108"/>
      <c r="I964" s="190"/>
      <c r="J964" s="108"/>
      <c r="K964" s="106"/>
      <c r="L964" s="107"/>
      <c r="M964" s="107"/>
      <c r="N964" s="106"/>
      <c r="O964" s="106"/>
      <c r="Q964" s="271"/>
      <c r="R964" s="16"/>
      <c r="S964" s="27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08"/>
      <c r="C965" s="170"/>
      <c r="D965" s="141"/>
      <c r="E965" s="109"/>
      <c r="F965" s="109"/>
      <c r="G965" s="108"/>
      <c r="H965" s="108"/>
      <c r="I965" s="190"/>
      <c r="J965" s="108"/>
      <c r="K965" s="106"/>
      <c r="L965" s="107"/>
      <c r="M965" s="107"/>
      <c r="N965" s="106"/>
      <c r="O965" s="106"/>
      <c r="Q965" s="271"/>
      <c r="R965" s="16"/>
      <c r="S965" s="27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08"/>
      <c r="C966" s="170"/>
      <c r="D966" s="141"/>
      <c r="E966" s="109"/>
      <c r="F966" s="109"/>
      <c r="G966" s="108"/>
      <c r="H966" s="108"/>
      <c r="I966" s="190"/>
      <c r="J966" s="108"/>
      <c r="K966" s="106"/>
      <c r="L966" s="107"/>
      <c r="M966" s="107"/>
      <c r="N966" s="106"/>
      <c r="O966" s="106"/>
      <c r="Q966" s="271"/>
      <c r="R966" s="16"/>
      <c r="S966" s="27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08"/>
      <c r="C967" s="170"/>
      <c r="D967" s="141"/>
      <c r="E967" s="109"/>
      <c r="F967" s="109"/>
      <c r="G967" s="108"/>
      <c r="H967" s="108"/>
      <c r="I967" s="190"/>
      <c r="J967" s="108"/>
      <c r="K967" s="106"/>
      <c r="L967" s="107"/>
      <c r="M967" s="107"/>
      <c r="N967" s="106"/>
      <c r="O967" s="106"/>
      <c r="Q967" s="271"/>
      <c r="R967" s="16"/>
      <c r="S967" s="27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08"/>
      <c r="C968" s="170"/>
      <c r="D968" s="141"/>
      <c r="E968" s="109"/>
      <c r="F968" s="109"/>
      <c r="G968" s="108"/>
      <c r="H968" s="108"/>
      <c r="I968" s="190"/>
      <c r="J968" s="108"/>
      <c r="K968" s="106"/>
      <c r="L968" s="107"/>
      <c r="M968" s="107"/>
      <c r="N968" s="106"/>
      <c r="O968" s="106"/>
      <c r="Q968" s="271"/>
      <c r="R968" s="16"/>
      <c r="S968" s="27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08"/>
      <c r="C969" s="170"/>
      <c r="D969" s="141"/>
      <c r="E969" s="109"/>
      <c r="F969" s="109"/>
      <c r="G969" s="108"/>
      <c r="H969" s="108"/>
      <c r="I969" s="190"/>
      <c r="J969" s="108"/>
      <c r="K969" s="106"/>
      <c r="L969" s="107"/>
      <c r="M969" s="107"/>
      <c r="N969" s="106"/>
      <c r="O969" s="106"/>
      <c r="Q969" s="271"/>
      <c r="R969" s="16"/>
      <c r="S969" s="27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08"/>
      <c r="C970" s="170"/>
      <c r="D970" s="141"/>
      <c r="E970" s="109"/>
      <c r="F970" s="109"/>
      <c r="G970" s="108"/>
      <c r="H970" s="108"/>
      <c r="I970" s="190"/>
      <c r="J970" s="108"/>
      <c r="K970" s="106"/>
      <c r="L970" s="107"/>
      <c r="M970" s="107"/>
      <c r="N970" s="106"/>
      <c r="O970" s="106"/>
      <c r="Q970" s="271"/>
      <c r="R970" s="16"/>
      <c r="S970" s="27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08"/>
      <c r="C971" s="170"/>
      <c r="D971" s="141"/>
      <c r="E971" s="109"/>
      <c r="F971" s="109"/>
      <c r="G971" s="108"/>
      <c r="H971" s="108"/>
      <c r="I971" s="190"/>
      <c r="J971" s="108"/>
      <c r="K971" s="106"/>
      <c r="L971" s="107"/>
      <c r="M971" s="107"/>
      <c r="N971" s="106"/>
      <c r="O971" s="106"/>
      <c r="Q971" s="271"/>
      <c r="R971" s="16"/>
      <c r="S971" s="27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08"/>
      <c r="C972" s="170"/>
      <c r="D972" s="141"/>
      <c r="E972" s="109"/>
      <c r="F972" s="109"/>
      <c r="G972" s="108"/>
      <c r="H972" s="108"/>
      <c r="I972" s="190"/>
      <c r="J972" s="108"/>
      <c r="K972" s="106"/>
      <c r="L972" s="107"/>
      <c r="M972" s="107"/>
      <c r="N972" s="106"/>
      <c r="O972" s="106"/>
      <c r="Q972" s="271"/>
      <c r="R972" s="16"/>
      <c r="S972" s="27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08"/>
      <c r="C973" s="170"/>
      <c r="D973" s="141"/>
      <c r="E973" s="109"/>
      <c r="F973" s="109"/>
      <c r="G973" s="108"/>
      <c r="H973" s="108"/>
      <c r="I973" s="190"/>
      <c r="J973" s="108"/>
      <c r="K973" s="106"/>
      <c r="L973" s="107"/>
      <c r="M973" s="107"/>
      <c r="N973" s="106"/>
      <c r="O973" s="106"/>
      <c r="Q973" s="271"/>
      <c r="R973" s="16"/>
      <c r="S973" s="27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08"/>
      <c r="C974" s="170"/>
      <c r="D974" s="141"/>
      <c r="E974" s="109"/>
      <c r="F974" s="109"/>
      <c r="G974" s="108"/>
      <c r="H974" s="108"/>
      <c r="I974" s="190"/>
      <c r="J974" s="108"/>
      <c r="K974" s="106"/>
      <c r="L974" s="107"/>
      <c r="M974" s="107"/>
      <c r="N974" s="106"/>
      <c r="O974" s="106"/>
      <c r="Q974" s="271"/>
      <c r="R974" s="16"/>
      <c r="S974" s="27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08"/>
      <c r="C975" s="170"/>
      <c r="D975" s="141"/>
      <c r="E975" s="109"/>
      <c r="F975" s="109"/>
      <c r="G975" s="108"/>
      <c r="H975" s="108"/>
      <c r="I975" s="190"/>
      <c r="J975" s="108"/>
      <c r="K975" s="106"/>
      <c r="L975" s="107"/>
      <c r="M975" s="107"/>
      <c r="N975" s="106"/>
      <c r="O975" s="106"/>
      <c r="Q975" s="271"/>
      <c r="R975" s="16"/>
      <c r="S975" s="27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08"/>
      <c r="C976" s="170"/>
      <c r="D976" s="141"/>
      <c r="E976" s="109"/>
      <c r="F976" s="109"/>
      <c r="G976" s="108"/>
      <c r="H976" s="108"/>
      <c r="I976" s="190"/>
      <c r="J976" s="108"/>
      <c r="K976" s="106"/>
      <c r="L976" s="107"/>
      <c r="M976" s="107"/>
      <c r="N976" s="106"/>
      <c r="O976" s="106"/>
      <c r="Q976" s="271"/>
      <c r="R976" s="16"/>
      <c r="S976" s="27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08"/>
      <c r="C977" s="170"/>
      <c r="D977" s="141"/>
      <c r="E977" s="109"/>
      <c r="F977" s="109"/>
      <c r="G977" s="108"/>
      <c r="H977" s="108"/>
      <c r="I977" s="190"/>
      <c r="J977" s="108"/>
      <c r="K977" s="106"/>
      <c r="L977" s="107"/>
      <c r="M977" s="107"/>
      <c r="N977" s="106"/>
      <c r="O977" s="106"/>
      <c r="Q977" s="271"/>
      <c r="R977" s="16"/>
      <c r="S977" s="27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08"/>
      <c r="C978" s="170"/>
      <c r="D978" s="141"/>
      <c r="E978" s="109"/>
      <c r="F978" s="109"/>
      <c r="G978" s="108"/>
      <c r="H978" s="108"/>
      <c r="I978" s="190"/>
      <c r="J978" s="108"/>
      <c r="K978" s="106"/>
      <c r="L978" s="107"/>
      <c r="M978" s="107"/>
      <c r="N978" s="106"/>
      <c r="O978" s="106"/>
      <c r="Q978" s="271"/>
      <c r="R978" s="16"/>
      <c r="S978" s="27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08"/>
      <c r="C979" s="170"/>
      <c r="D979" s="141"/>
      <c r="E979" s="109"/>
      <c r="F979" s="109"/>
      <c r="G979" s="108"/>
      <c r="H979" s="108"/>
      <c r="I979" s="190"/>
      <c r="J979" s="108"/>
      <c r="K979" s="106"/>
      <c r="L979" s="107"/>
      <c r="M979" s="107"/>
      <c r="N979" s="106"/>
      <c r="O979" s="106"/>
      <c r="Q979" s="271"/>
      <c r="R979" s="16"/>
      <c r="S979" s="27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08"/>
      <c r="C980" s="170"/>
      <c r="D980" s="141"/>
      <c r="E980" s="109"/>
      <c r="F980" s="109"/>
      <c r="G980" s="108"/>
      <c r="H980" s="108"/>
      <c r="I980" s="190"/>
      <c r="J980" s="108"/>
      <c r="K980" s="106"/>
      <c r="L980" s="107"/>
      <c r="M980" s="107"/>
      <c r="N980" s="106"/>
      <c r="O980" s="106"/>
      <c r="Q980" s="271"/>
      <c r="R980" s="16"/>
      <c r="S980" s="27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08"/>
      <c r="C981" s="170"/>
      <c r="D981" s="141"/>
      <c r="E981" s="109"/>
      <c r="F981" s="109"/>
      <c r="G981" s="108"/>
      <c r="H981" s="108"/>
      <c r="I981" s="190"/>
      <c r="J981" s="108"/>
      <c r="K981" s="106"/>
      <c r="L981" s="107"/>
      <c r="M981" s="107"/>
      <c r="N981" s="106"/>
      <c r="O981" s="106"/>
      <c r="Q981" s="271"/>
      <c r="R981" s="16"/>
      <c r="S981" s="27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08"/>
      <c r="C982" s="170"/>
      <c r="D982" s="141"/>
      <c r="E982" s="109"/>
      <c r="F982" s="109"/>
      <c r="G982" s="108"/>
      <c r="H982" s="108"/>
      <c r="I982" s="190"/>
      <c r="J982" s="108"/>
      <c r="K982" s="106"/>
      <c r="L982" s="107"/>
      <c r="M982" s="107"/>
      <c r="N982" s="106"/>
      <c r="O982" s="106"/>
      <c r="Q982" s="271"/>
      <c r="R982" s="16"/>
      <c r="S982" s="27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08"/>
      <c r="C983" s="170"/>
      <c r="D983" s="141"/>
      <c r="E983" s="109"/>
      <c r="F983" s="109"/>
      <c r="G983" s="108"/>
      <c r="H983" s="108"/>
      <c r="I983" s="190"/>
      <c r="J983" s="108"/>
      <c r="K983" s="106"/>
      <c r="L983" s="107"/>
      <c r="M983" s="107"/>
      <c r="N983" s="106"/>
      <c r="O983" s="106"/>
      <c r="Q983" s="271"/>
      <c r="R983" s="16"/>
      <c r="S983" s="27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08"/>
      <c r="C984" s="170"/>
      <c r="D984" s="141"/>
      <c r="E984" s="109"/>
      <c r="F984" s="109"/>
      <c r="G984" s="108"/>
      <c r="H984" s="108"/>
      <c r="I984" s="190"/>
      <c r="J984" s="108"/>
      <c r="K984" s="106"/>
      <c r="L984" s="107"/>
      <c r="M984" s="107"/>
      <c r="N984" s="106"/>
      <c r="O984" s="106"/>
      <c r="Q984" s="271"/>
      <c r="R984" s="16"/>
      <c r="S984" s="27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08"/>
      <c r="C985" s="170"/>
      <c r="D985" s="141"/>
      <c r="E985" s="109"/>
      <c r="F985" s="109"/>
      <c r="G985" s="108"/>
      <c r="H985" s="108"/>
      <c r="I985" s="190"/>
      <c r="J985" s="108"/>
      <c r="K985" s="106"/>
      <c r="L985" s="107"/>
      <c r="M985" s="107"/>
      <c r="N985" s="106"/>
      <c r="O985" s="106"/>
      <c r="Q985" s="271"/>
      <c r="R985" s="16"/>
      <c r="S985" s="27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08"/>
      <c r="C986" s="170"/>
      <c r="D986" s="141"/>
      <c r="E986" s="109"/>
      <c r="F986" s="109"/>
      <c r="G986" s="108"/>
      <c r="H986" s="108"/>
      <c r="I986" s="190"/>
      <c r="J986" s="108"/>
      <c r="K986" s="106"/>
      <c r="L986" s="107"/>
      <c r="M986" s="107"/>
      <c r="N986" s="106"/>
      <c r="O986" s="106"/>
      <c r="Q986" s="271"/>
      <c r="R986" s="16"/>
      <c r="S986" s="27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35">
      <c r="A987" s="16"/>
      <c r="B987" s="108"/>
      <c r="C987" s="170"/>
      <c r="D987" s="141"/>
      <c r="E987" s="109"/>
      <c r="F987" s="109"/>
      <c r="G987" s="108"/>
      <c r="H987" s="108"/>
      <c r="I987" s="190"/>
      <c r="J987" s="108"/>
      <c r="K987" s="106"/>
      <c r="L987" s="107"/>
      <c r="M987" s="107"/>
      <c r="N987" s="106"/>
      <c r="O987" s="106"/>
      <c r="Q987" s="271"/>
      <c r="R987" s="16"/>
      <c r="S987" s="27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35">
      <c r="A988" s="16"/>
      <c r="B988" s="108"/>
      <c r="C988" s="170"/>
      <c r="D988" s="141"/>
      <c r="E988" s="109"/>
      <c r="F988" s="109"/>
      <c r="G988" s="108"/>
      <c r="H988" s="108"/>
      <c r="I988" s="190"/>
      <c r="J988" s="108"/>
      <c r="K988" s="106"/>
      <c r="L988" s="107"/>
      <c r="M988" s="107"/>
      <c r="N988" s="106"/>
      <c r="O988" s="106"/>
      <c r="Q988" s="271"/>
      <c r="R988" s="16"/>
      <c r="S988" s="27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35">
      <c r="A989" s="16"/>
      <c r="B989" s="108"/>
      <c r="C989" s="170"/>
      <c r="D989" s="141"/>
      <c r="E989" s="109"/>
      <c r="F989" s="109"/>
      <c r="G989" s="108"/>
      <c r="H989" s="108"/>
      <c r="I989" s="190"/>
      <c r="J989" s="108"/>
      <c r="K989" s="106"/>
      <c r="L989" s="107"/>
      <c r="M989" s="107"/>
      <c r="N989" s="106"/>
      <c r="O989" s="106"/>
      <c r="Q989" s="271"/>
      <c r="R989" s="16"/>
      <c r="S989" s="27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35">
      <c r="A990" s="16"/>
      <c r="B990" s="108"/>
      <c r="C990" s="170"/>
      <c r="D990" s="141"/>
      <c r="E990" s="109"/>
      <c r="F990" s="109"/>
      <c r="G990" s="108"/>
      <c r="H990" s="108"/>
      <c r="I990" s="190"/>
      <c r="J990" s="108"/>
      <c r="K990" s="106"/>
      <c r="L990" s="107"/>
      <c r="M990" s="107"/>
      <c r="N990" s="106"/>
      <c r="O990" s="106"/>
      <c r="Q990" s="271"/>
      <c r="R990" s="16"/>
      <c r="S990" s="27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35">
      <c r="A991" s="16"/>
      <c r="B991" s="108"/>
      <c r="C991" s="170"/>
      <c r="D991" s="141"/>
      <c r="E991" s="109"/>
      <c r="F991" s="109"/>
      <c r="G991" s="108"/>
      <c r="H991" s="108"/>
      <c r="I991" s="190"/>
      <c r="J991" s="108"/>
      <c r="K991" s="106"/>
      <c r="L991" s="107"/>
      <c r="M991" s="107"/>
      <c r="N991" s="106"/>
      <c r="O991" s="106"/>
      <c r="Q991" s="271"/>
      <c r="R991" s="16"/>
      <c r="S991" s="27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35">
      <c r="A992" s="16"/>
      <c r="B992" s="108"/>
      <c r="C992" s="170"/>
      <c r="D992" s="141"/>
      <c r="E992" s="109"/>
      <c r="F992" s="109"/>
      <c r="G992" s="108"/>
      <c r="H992" s="108"/>
      <c r="I992" s="190"/>
      <c r="J992" s="108"/>
      <c r="K992" s="106"/>
      <c r="L992" s="107"/>
      <c r="M992" s="107"/>
      <c r="N992" s="106"/>
      <c r="O992" s="106"/>
      <c r="Q992" s="271"/>
      <c r="R992" s="16"/>
      <c r="S992" s="27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35">
      <c r="A993" s="16"/>
      <c r="B993" s="108"/>
      <c r="C993" s="170"/>
      <c r="D993" s="141"/>
      <c r="E993" s="109"/>
      <c r="F993" s="109"/>
      <c r="G993" s="108"/>
      <c r="H993" s="108"/>
      <c r="I993" s="190"/>
      <c r="J993" s="108"/>
      <c r="K993" s="106"/>
      <c r="L993" s="107"/>
      <c r="M993" s="107"/>
      <c r="N993" s="106"/>
      <c r="O993" s="106"/>
      <c r="Q993" s="271"/>
      <c r="R993" s="16"/>
      <c r="S993" s="27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35">
      <c r="A994" s="16"/>
      <c r="B994" s="108"/>
      <c r="C994" s="170"/>
      <c r="D994" s="141"/>
      <c r="E994" s="109"/>
      <c r="F994" s="109"/>
      <c r="G994" s="108"/>
      <c r="H994" s="108"/>
      <c r="I994" s="190"/>
      <c r="J994" s="108"/>
      <c r="K994" s="106"/>
      <c r="L994" s="107"/>
      <c r="M994" s="107"/>
      <c r="N994" s="106"/>
      <c r="O994" s="106"/>
      <c r="Q994" s="271"/>
      <c r="R994" s="16"/>
      <c r="S994" s="27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35">
      <c r="A995" s="16"/>
      <c r="B995" s="108"/>
      <c r="C995" s="170"/>
      <c r="D995" s="141"/>
      <c r="E995" s="109"/>
      <c r="F995" s="109"/>
      <c r="G995" s="108"/>
      <c r="H995" s="108"/>
      <c r="I995" s="190"/>
      <c r="J995" s="108"/>
      <c r="K995" s="106"/>
      <c r="L995" s="107"/>
      <c r="M995" s="107"/>
      <c r="N995" s="106"/>
      <c r="O995" s="106"/>
      <c r="Q995" s="271"/>
      <c r="R995" s="16"/>
      <c r="S995" s="27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35">
      <c r="A996" s="16"/>
      <c r="B996" s="108"/>
      <c r="C996" s="170"/>
      <c r="D996" s="141"/>
      <c r="E996" s="109"/>
      <c r="F996" s="109"/>
      <c r="G996" s="108"/>
      <c r="H996" s="108"/>
      <c r="I996" s="190"/>
      <c r="J996" s="108"/>
      <c r="K996" s="106"/>
      <c r="L996" s="107"/>
      <c r="M996" s="107"/>
      <c r="N996" s="106"/>
      <c r="O996" s="106"/>
      <c r="Q996" s="271"/>
      <c r="R996" s="16"/>
      <c r="S996" s="27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35">
      <c r="A997" s="16"/>
      <c r="B997" s="108"/>
      <c r="C997" s="170"/>
      <c r="D997" s="141"/>
      <c r="E997" s="109"/>
      <c r="F997" s="109"/>
      <c r="G997" s="108"/>
      <c r="H997" s="108"/>
      <c r="I997" s="190"/>
      <c r="J997" s="108"/>
      <c r="K997" s="106"/>
      <c r="L997" s="107"/>
      <c r="M997" s="107"/>
      <c r="N997" s="106"/>
      <c r="O997" s="106"/>
      <c r="Q997" s="271"/>
      <c r="R997" s="16"/>
      <c r="S997" s="27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35">
      <c r="A998" s="16"/>
      <c r="B998" s="108"/>
      <c r="C998" s="170"/>
      <c r="D998" s="141"/>
      <c r="E998" s="109"/>
      <c r="F998" s="109"/>
      <c r="G998" s="108"/>
      <c r="H998" s="108"/>
      <c r="I998" s="190"/>
      <c r="J998" s="108"/>
      <c r="K998" s="106"/>
      <c r="L998" s="107"/>
      <c r="M998" s="107"/>
      <c r="N998" s="106"/>
      <c r="O998" s="106"/>
      <c r="Q998" s="271"/>
      <c r="R998" s="16"/>
      <c r="S998" s="27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35">
      <c r="A999" s="16"/>
      <c r="B999" s="108"/>
      <c r="C999" s="170"/>
      <c r="D999" s="141"/>
      <c r="E999" s="109"/>
      <c r="F999" s="109"/>
      <c r="G999" s="108"/>
      <c r="H999" s="108"/>
      <c r="I999" s="190"/>
      <c r="J999" s="108"/>
      <c r="K999" s="106"/>
      <c r="L999" s="107"/>
      <c r="M999" s="107"/>
      <c r="N999" s="106"/>
      <c r="O999" s="106"/>
      <c r="Q999" s="271"/>
      <c r="R999" s="16"/>
      <c r="S999" s="27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35">
      <c r="A1000" s="16"/>
      <c r="B1000" s="108"/>
      <c r="C1000" s="170"/>
      <c r="D1000" s="141"/>
      <c r="E1000" s="109"/>
      <c r="F1000" s="109"/>
      <c r="G1000" s="108"/>
      <c r="H1000" s="108"/>
      <c r="I1000" s="190"/>
      <c r="J1000" s="108"/>
      <c r="K1000" s="106"/>
      <c r="L1000" s="107"/>
      <c r="M1000" s="107"/>
      <c r="N1000" s="106"/>
      <c r="O1000" s="106"/>
      <c r="Q1000" s="271"/>
      <c r="R1000" s="16"/>
      <c r="S1000" s="276"/>
      <c r="T1000" s="16"/>
      <c r="U1000" s="16"/>
      <c r="V1000" s="16"/>
      <c r="W1000" s="16"/>
      <c r="X1000" s="16"/>
      <c r="Y1000" s="16"/>
      <c r="Z1000" s="16"/>
    </row>
    <row r="1001" spans="1:26" ht="15.75" customHeight="1" x14ac:dyDescent="0.35">
      <c r="A1001" s="16"/>
      <c r="B1001" s="108"/>
      <c r="C1001" s="170"/>
      <c r="D1001" s="141"/>
      <c r="E1001" s="109"/>
      <c r="F1001" s="109"/>
      <c r="G1001" s="108"/>
      <c r="H1001" s="108"/>
      <c r="I1001" s="190"/>
      <c r="J1001" s="108"/>
      <c r="K1001" s="106"/>
      <c r="L1001" s="107"/>
      <c r="M1001" s="107"/>
      <c r="N1001" s="106"/>
      <c r="O1001" s="106"/>
      <c r="Q1001" s="271"/>
      <c r="R1001" s="16"/>
      <c r="S1001" s="276"/>
      <c r="T1001" s="16"/>
      <c r="U1001" s="16"/>
      <c r="V1001" s="16"/>
      <c r="W1001" s="16"/>
      <c r="X1001" s="16"/>
      <c r="Y1001" s="16"/>
      <c r="Z1001" s="16"/>
    </row>
    <row r="1002" spans="1:26" ht="15.75" customHeight="1" x14ac:dyDescent="0.35">
      <c r="A1002" s="16"/>
      <c r="B1002" s="108"/>
      <c r="C1002" s="170"/>
      <c r="D1002" s="141"/>
      <c r="E1002" s="109"/>
      <c r="F1002" s="109"/>
      <c r="G1002" s="108"/>
      <c r="H1002" s="108"/>
      <c r="I1002" s="190"/>
      <c r="J1002" s="108"/>
      <c r="K1002" s="106"/>
      <c r="L1002" s="107"/>
      <c r="M1002" s="107"/>
      <c r="N1002" s="106"/>
      <c r="O1002" s="106"/>
      <c r="Q1002" s="271"/>
      <c r="R1002" s="16"/>
      <c r="S1002" s="276"/>
      <c r="T1002" s="16"/>
      <c r="U1002" s="16"/>
      <c r="V1002" s="16"/>
      <c r="W1002" s="16"/>
      <c r="X1002" s="16"/>
      <c r="Y1002" s="16"/>
      <c r="Z1002" s="16"/>
    </row>
    <row r="1003" spans="1:26" ht="15.75" customHeight="1" x14ac:dyDescent="0.35">
      <c r="A1003" s="16"/>
      <c r="B1003" s="108"/>
      <c r="C1003" s="170"/>
      <c r="D1003" s="141"/>
      <c r="E1003" s="109"/>
      <c r="F1003" s="109"/>
      <c r="G1003" s="108"/>
      <c r="H1003" s="108"/>
      <c r="I1003" s="190"/>
      <c r="J1003" s="108"/>
      <c r="K1003" s="106"/>
      <c r="L1003" s="107"/>
      <c r="M1003" s="107"/>
      <c r="N1003" s="106"/>
      <c r="O1003" s="106"/>
      <c r="Q1003" s="271"/>
      <c r="R1003" s="16"/>
      <c r="S1003" s="276"/>
      <c r="T1003" s="16"/>
      <c r="U1003" s="16"/>
      <c r="V1003" s="16"/>
      <c r="W1003" s="16"/>
      <c r="X1003" s="16"/>
      <c r="Y1003" s="16"/>
      <c r="Z1003" s="16"/>
    </row>
    <row r="1004" spans="1:26" ht="15.75" customHeight="1" x14ac:dyDescent="0.35">
      <c r="A1004" s="16"/>
      <c r="B1004" s="108"/>
      <c r="C1004" s="170"/>
      <c r="D1004" s="141"/>
      <c r="E1004" s="109"/>
      <c r="F1004" s="109"/>
      <c r="G1004" s="108"/>
      <c r="H1004" s="108"/>
      <c r="I1004" s="190"/>
      <c r="J1004" s="108"/>
      <c r="K1004" s="106"/>
      <c r="L1004" s="107"/>
      <c r="M1004" s="107"/>
      <c r="N1004" s="106"/>
      <c r="O1004" s="106"/>
      <c r="Q1004" s="271"/>
      <c r="R1004" s="16"/>
      <c r="S1004" s="276"/>
      <c r="T1004" s="16"/>
      <c r="U1004" s="16"/>
      <c r="V1004" s="16"/>
      <c r="W1004" s="16"/>
      <c r="X1004" s="16"/>
      <c r="Y1004" s="16"/>
      <c r="Z1004" s="16"/>
    </row>
    <row r="1005" spans="1:26" ht="15.75" customHeight="1" x14ac:dyDescent="0.35">
      <c r="A1005" s="16"/>
      <c r="B1005" s="108"/>
      <c r="C1005" s="170"/>
      <c r="D1005" s="141"/>
      <c r="E1005" s="109"/>
      <c r="F1005" s="109"/>
      <c r="G1005" s="108"/>
      <c r="H1005" s="108"/>
      <c r="I1005" s="190"/>
      <c r="J1005" s="108"/>
      <c r="K1005" s="106"/>
      <c r="L1005" s="107"/>
      <c r="M1005" s="107"/>
      <c r="N1005" s="106"/>
      <c r="O1005" s="106"/>
      <c r="Q1005" s="271"/>
      <c r="R1005" s="16"/>
      <c r="S1005" s="276"/>
      <c r="T1005" s="16"/>
      <c r="U1005" s="16"/>
      <c r="V1005" s="16"/>
      <c r="W1005" s="16"/>
      <c r="X1005" s="16"/>
      <c r="Y1005" s="16"/>
      <c r="Z1005" s="16"/>
    </row>
    <row r="1006" spans="1:26" ht="15.75" customHeight="1" x14ac:dyDescent="0.35">
      <c r="A1006" s="16"/>
      <c r="B1006" s="108"/>
      <c r="C1006" s="170"/>
      <c r="D1006" s="141"/>
      <c r="E1006" s="109"/>
      <c r="F1006" s="109"/>
      <c r="G1006" s="108"/>
      <c r="H1006" s="108"/>
      <c r="I1006" s="190"/>
      <c r="J1006" s="108"/>
      <c r="K1006" s="106"/>
      <c r="L1006" s="107"/>
      <c r="M1006" s="107"/>
      <c r="N1006" s="106"/>
      <c r="O1006" s="106"/>
      <c r="Q1006" s="271"/>
      <c r="R1006" s="16"/>
      <c r="S1006" s="276"/>
      <c r="T1006" s="16"/>
      <c r="U1006" s="16"/>
      <c r="V1006" s="16"/>
      <c r="W1006" s="16"/>
      <c r="X1006" s="16"/>
      <c r="Y1006" s="16"/>
      <c r="Z1006" s="16"/>
    </row>
    <row r="1007" spans="1:26" ht="15.75" customHeight="1" x14ac:dyDescent="0.35">
      <c r="A1007" s="16"/>
      <c r="B1007" s="108"/>
      <c r="C1007" s="170"/>
      <c r="D1007" s="141"/>
      <c r="E1007" s="109"/>
      <c r="F1007" s="109"/>
      <c r="G1007" s="108"/>
      <c r="H1007" s="108"/>
      <c r="I1007" s="190"/>
      <c r="J1007" s="108"/>
      <c r="K1007" s="106"/>
      <c r="L1007" s="107"/>
      <c r="M1007" s="107"/>
      <c r="N1007" s="106"/>
      <c r="O1007" s="106"/>
      <c r="Q1007" s="271"/>
      <c r="R1007" s="16"/>
      <c r="S1007" s="276"/>
      <c r="T1007" s="16"/>
      <c r="U1007" s="16"/>
      <c r="V1007" s="16"/>
      <c r="W1007" s="16"/>
      <c r="X1007" s="16"/>
      <c r="Y1007" s="16"/>
      <c r="Z1007" s="16"/>
    </row>
    <row r="1008" spans="1:26" ht="15.75" customHeight="1" x14ac:dyDescent="0.35">
      <c r="A1008" s="16"/>
      <c r="B1008" s="108"/>
      <c r="C1008" s="170"/>
      <c r="D1008" s="141"/>
      <c r="E1008" s="109"/>
      <c r="F1008" s="109"/>
      <c r="G1008" s="108"/>
      <c r="H1008" s="108"/>
      <c r="I1008" s="190"/>
      <c r="J1008" s="108"/>
      <c r="K1008" s="106"/>
      <c r="L1008" s="107"/>
      <c r="M1008" s="107"/>
      <c r="N1008" s="106"/>
      <c r="O1008" s="106"/>
      <c r="Q1008" s="271"/>
      <c r="R1008" s="16"/>
      <c r="S1008" s="276"/>
      <c r="T1008" s="16"/>
      <c r="U1008" s="16"/>
      <c r="V1008" s="16"/>
      <c r="W1008" s="16"/>
      <c r="X1008" s="16"/>
      <c r="Y1008" s="16"/>
      <c r="Z1008" s="16"/>
    </row>
    <row r="1009" spans="1:26" ht="15.75" customHeight="1" x14ac:dyDescent="0.35">
      <c r="A1009" s="16"/>
      <c r="B1009" s="108"/>
      <c r="C1009" s="170"/>
      <c r="D1009" s="141"/>
      <c r="E1009" s="109"/>
      <c r="F1009" s="109"/>
      <c r="G1009" s="108"/>
      <c r="H1009" s="108"/>
      <c r="I1009" s="190"/>
      <c r="J1009" s="108"/>
      <c r="K1009" s="106"/>
      <c r="L1009" s="107"/>
      <c r="M1009" s="107"/>
      <c r="N1009" s="106"/>
      <c r="O1009" s="106"/>
      <c r="Q1009" s="271"/>
      <c r="R1009" s="16"/>
      <c r="S1009" s="276"/>
      <c r="T1009" s="16"/>
      <c r="U1009" s="16"/>
      <c r="V1009" s="16"/>
      <c r="W1009" s="16"/>
      <c r="X1009" s="16"/>
      <c r="Y1009" s="16"/>
      <c r="Z1009" s="16"/>
    </row>
    <row r="1010" spans="1:26" ht="15.75" customHeight="1" x14ac:dyDescent="0.35">
      <c r="A1010" s="16"/>
      <c r="B1010" s="108"/>
      <c r="C1010" s="170"/>
      <c r="D1010" s="141"/>
      <c r="E1010" s="109"/>
      <c r="F1010" s="109"/>
      <c r="G1010" s="108"/>
      <c r="H1010" s="108"/>
      <c r="I1010" s="190"/>
      <c r="J1010" s="108"/>
      <c r="K1010" s="106"/>
      <c r="L1010" s="107"/>
      <c r="M1010" s="107"/>
      <c r="N1010" s="106"/>
      <c r="O1010" s="106"/>
      <c r="Q1010" s="271"/>
      <c r="R1010" s="16"/>
      <c r="S1010" s="276"/>
      <c r="T1010" s="16"/>
      <c r="U1010" s="16"/>
      <c r="V1010" s="16"/>
      <c r="W1010" s="16"/>
      <c r="X1010" s="16"/>
      <c r="Y1010" s="16"/>
      <c r="Z1010" s="16"/>
    </row>
    <row r="1011" spans="1:26" ht="15.75" customHeight="1" x14ac:dyDescent="0.35">
      <c r="A1011" s="16"/>
      <c r="B1011" s="108"/>
      <c r="C1011" s="170"/>
      <c r="D1011" s="141"/>
      <c r="E1011" s="109"/>
      <c r="F1011" s="109"/>
      <c r="G1011" s="108"/>
      <c r="H1011" s="108"/>
      <c r="I1011" s="190"/>
      <c r="J1011" s="108"/>
      <c r="K1011" s="106"/>
      <c r="L1011" s="107"/>
      <c r="M1011" s="107"/>
      <c r="N1011" s="106"/>
      <c r="O1011" s="106"/>
      <c r="Q1011" s="271"/>
      <c r="R1011" s="16"/>
      <c r="S1011" s="276"/>
      <c r="T1011" s="16"/>
      <c r="U1011" s="16"/>
      <c r="V1011" s="16"/>
      <c r="W1011" s="16"/>
      <c r="X1011" s="16"/>
      <c r="Y1011" s="16"/>
      <c r="Z1011" s="16"/>
    </row>
    <row r="1012" spans="1:26" ht="15.75" customHeight="1" x14ac:dyDescent="0.35">
      <c r="A1012" s="16"/>
      <c r="B1012" s="108"/>
      <c r="C1012" s="170"/>
      <c r="D1012" s="141"/>
      <c r="E1012" s="109"/>
      <c r="F1012" s="109"/>
      <c r="G1012" s="108"/>
      <c r="H1012" s="108"/>
      <c r="I1012" s="190"/>
      <c r="J1012" s="108"/>
      <c r="K1012" s="106"/>
      <c r="L1012" s="107"/>
      <c r="M1012" s="107"/>
      <c r="N1012" s="106"/>
      <c r="O1012" s="106"/>
      <c r="Q1012" s="271"/>
      <c r="R1012" s="16"/>
      <c r="S1012" s="276"/>
      <c r="T1012" s="16"/>
      <c r="U1012" s="16"/>
      <c r="V1012" s="16"/>
      <c r="W1012" s="16"/>
      <c r="X1012" s="16"/>
      <c r="Y1012" s="16"/>
      <c r="Z1012" s="16"/>
    </row>
    <row r="1013" spans="1:26" ht="15.75" customHeight="1" x14ac:dyDescent="0.35">
      <c r="A1013" s="16"/>
      <c r="B1013" s="108"/>
      <c r="C1013" s="170"/>
      <c r="D1013" s="141"/>
      <c r="E1013" s="109"/>
      <c r="F1013" s="109"/>
      <c r="G1013" s="108"/>
      <c r="H1013" s="108"/>
      <c r="I1013" s="190"/>
      <c r="J1013" s="108"/>
      <c r="K1013" s="106"/>
      <c r="L1013" s="107"/>
      <c r="M1013" s="107"/>
      <c r="N1013" s="106"/>
      <c r="O1013" s="106"/>
      <c r="Q1013" s="271"/>
      <c r="R1013" s="16"/>
      <c r="S1013" s="276"/>
      <c r="T1013" s="16"/>
      <c r="U1013" s="16"/>
      <c r="V1013" s="16"/>
      <c r="W1013" s="16"/>
      <c r="X1013" s="16"/>
      <c r="Y1013" s="16"/>
      <c r="Z1013" s="16"/>
    </row>
    <row r="1014" spans="1:26" ht="15.75" customHeight="1" x14ac:dyDescent="0.35">
      <c r="A1014" s="16"/>
      <c r="B1014" s="108"/>
      <c r="C1014" s="170"/>
      <c r="D1014" s="141"/>
      <c r="E1014" s="109"/>
      <c r="F1014" s="109"/>
      <c r="G1014" s="108"/>
      <c r="H1014" s="108"/>
      <c r="I1014" s="190"/>
      <c r="J1014" s="108"/>
      <c r="K1014" s="106"/>
      <c r="L1014" s="107"/>
      <c r="M1014" s="107"/>
      <c r="N1014" s="106"/>
      <c r="O1014" s="106"/>
      <c r="Q1014" s="271"/>
      <c r="R1014" s="16"/>
      <c r="S1014" s="276"/>
      <c r="T1014" s="16"/>
      <c r="U1014" s="16"/>
      <c r="V1014" s="16"/>
      <c r="W1014" s="16"/>
      <c r="X1014" s="16"/>
      <c r="Y1014" s="16"/>
      <c r="Z1014" s="16"/>
    </row>
    <row r="1015" spans="1:26" ht="15.75" customHeight="1" x14ac:dyDescent="0.35">
      <c r="A1015" s="16"/>
      <c r="B1015" s="108"/>
      <c r="C1015" s="170"/>
      <c r="D1015" s="141"/>
      <c r="E1015" s="109"/>
      <c r="F1015" s="109"/>
      <c r="G1015" s="108"/>
      <c r="H1015" s="108"/>
      <c r="I1015" s="190"/>
      <c r="J1015" s="108"/>
      <c r="K1015" s="106"/>
      <c r="L1015" s="107"/>
      <c r="M1015" s="107"/>
      <c r="N1015" s="106"/>
      <c r="O1015" s="106"/>
      <c r="Q1015" s="271"/>
      <c r="R1015" s="16"/>
      <c r="S1015" s="276"/>
      <c r="T1015" s="16"/>
      <c r="U1015" s="16"/>
      <c r="V1015" s="16"/>
      <c r="W1015" s="16"/>
      <c r="X1015" s="16"/>
      <c r="Y1015" s="16"/>
      <c r="Z1015" s="16"/>
    </row>
    <row r="1016" spans="1:26" ht="15.75" customHeight="1" x14ac:dyDescent="0.35">
      <c r="A1016" s="16"/>
      <c r="B1016" s="108"/>
      <c r="C1016" s="170"/>
      <c r="D1016" s="141"/>
      <c r="E1016" s="109"/>
      <c r="F1016" s="109"/>
      <c r="G1016" s="108"/>
      <c r="H1016" s="108"/>
      <c r="I1016" s="190"/>
      <c r="J1016" s="108"/>
      <c r="K1016" s="106"/>
      <c r="L1016" s="107"/>
      <c r="M1016" s="107"/>
      <c r="N1016" s="106"/>
      <c r="O1016" s="106"/>
      <c r="Q1016" s="271"/>
      <c r="R1016" s="16"/>
      <c r="S1016" s="276"/>
      <c r="T1016" s="16"/>
      <c r="U1016" s="16"/>
      <c r="V1016" s="16"/>
      <c r="W1016" s="16"/>
      <c r="X1016" s="16"/>
      <c r="Y1016" s="16"/>
      <c r="Z1016" s="16"/>
    </row>
    <row r="1017" spans="1:26" ht="15.75" customHeight="1" x14ac:dyDescent="0.35">
      <c r="A1017" s="16"/>
      <c r="B1017" s="108"/>
      <c r="C1017" s="170"/>
      <c r="D1017" s="141"/>
      <c r="E1017" s="109"/>
      <c r="F1017" s="109"/>
      <c r="G1017" s="108"/>
      <c r="H1017" s="108"/>
      <c r="I1017" s="190"/>
      <c r="J1017" s="108"/>
      <c r="K1017" s="106"/>
      <c r="L1017" s="107"/>
      <c r="M1017" s="107"/>
      <c r="N1017" s="106"/>
      <c r="O1017" s="106"/>
      <c r="Q1017" s="271"/>
      <c r="R1017" s="16"/>
      <c r="S1017" s="276"/>
      <c r="T1017" s="16"/>
      <c r="U1017" s="16"/>
      <c r="V1017" s="16"/>
      <c r="W1017" s="16"/>
      <c r="X1017" s="16"/>
      <c r="Y1017" s="16"/>
      <c r="Z1017" s="16"/>
    </row>
    <row r="1018" spans="1:26" ht="15.75" customHeight="1" x14ac:dyDescent="0.35">
      <c r="A1018" s="16"/>
      <c r="B1018" s="108"/>
      <c r="C1018" s="170"/>
      <c r="D1018" s="141"/>
      <c r="E1018" s="109"/>
      <c r="F1018" s="109"/>
      <c r="G1018" s="108"/>
      <c r="H1018" s="108"/>
      <c r="I1018" s="190"/>
      <c r="J1018" s="108"/>
      <c r="K1018" s="106"/>
      <c r="L1018" s="107"/>
      <c r="M1018" s="107"/>
      <c r="N1018" s="106"/>
      <c r="O1018" s="106"/>
      <c r="Q1018" s="271"/>
      <c r="R1018" s="16"/>
      <c r="S1018" s="276"/>
      <c r="T1018" s="16"/>
      <c r="U1018" s="16"/>
      <c r="V1018" s="16"/>
      <c r="W1018" s="16"/>
      <c r="X1018" s="16"/>
      <c r="Y1018" s="16"/>
      <c r="Z1018" s="16"/>
    </row>
    <row r="1019" spans="1:26" ht="15.75" customHeight="1" x14ac:dyDescent="0.35">
      <c r="A1019" s="16"/>
      <c r="B1019" s="108"/>
      <c r="C1019" s="170"/>
      <c r="D1019" s="141"/>
      <c r="E1019" s="109"/>
      <c r="F1019" s="109"/>
      <c r="G1019" s="108"/>
      <c r="H1019" s="108"/>
      <c r="I1019" s="190"/>
      <c r="J1019" s="108"/>
      <c r="K1019" s="106"/>
      <c r="L1019" s="107"/>
      <c r="M1019" s="107"/>
      <c r="N1019" s="106"/>
      <c r="O1019" s="106"/>
      <c r="Q1019" s="271"/>
      <c r="R1019" s="16"/>
      <c r="S1019" s="276"/>
      <c r="T1019" s="16"/>
      <c r="U1019" s="16"/>
      <c r="V1019" s="16"/>
      <c r="W1019" s="16"/>
      <c r="X1019" s="16"/>
      <c r="Y1019" s="16"/>
      <c r="Z1019" s="16"/>
    </row>
    <row r="1020" spans="1:26" ht="15.75" customHeight="1" x14ac:dyDescent="0.35">
      <c r="A1020" s="16"/>
      <c r="B1020" s="108"/>
      <c r="C1020" s="170"/>
      <c r="D1020" s="141"/>
      <c r="E1020" s="109"/>
      <c r="F1020" s="109"/>
      <c r="G1020" s="108"/>
      <c r="H1020" s="108"/>
      <c r="I1020" s="190"/>
      <c r="J1020" s="108"/>
      <c r="K1020" s="106"/>
      <c r="L1020" s="107"/>
      <c r="M1020" s="107"/>
      <c r="N1020" s="106"/>
      <c r="O1020" s="106"/>
      <c r="Q1020" s="271"/>
      <c r="R1020" s="16"/>
      <c r="S1020" s="276"/>
      <c r="T1020" s="16"/>
      <c r="U1020" s="16"/>
      <c r="V1020" s="16"/>
      <c r="W1020" s="16"/>
      <c r="X1020" s="16"/>
      <c r="Y1020" s="16"/>
      <c r="Z1020" s="16"/>
    </row>
    <row r="1021" spans="1:26" ht="15.75" customHeight="1" x14ac:dyDescent="0.35">
      <c r="A1021" s="16"/>
      <c r="B1021" s="108"/>
      <c r="C1021" s="170"/>
      <c r="D1021" s="141"/>
      <c r="E1021" s="109"/>
      <c r="F1021" s="109"/>
      <c r="G1021" s="108"/>
      <c r="H1021" s="108"/>
      <c r="I1021" s="190"/>
      <c r="J1021" s="108"/>
      <c r="K1021" s="106"/>
      <c r="L1021" s="107"/>
      <c r="M1021" s="107"/>
      <c r="N1021" s="106"/>
      <c r="O1021" s="106"/>
      <c r="Q1021" s="271"/>
      <c r="R1021" s="16"/>
      <c r="S1021" s="276"/>
      <c r="T1021" s="16"/>
      <c r="U1021" s="16"/>
      <c r="V1021" s="16"/>
      <c r="W1021" s="16"/>
      <c r="X1021" s="16"/>
      <c r="Y1021" s="16"/>
      <c r="Z1021" s="16"/>
    </row>
    <row r="1022" spans="1:26" ht="15.75" customHeight="1" x14ac:dyDescent="0.35">
      <c r="A1022" s="16"/>
      <c r="B1022" s="108"/>
      <c r="C1022" s="170"/>
      <c r="D1022" s="141"/>
      <c r="E1022" s="109"/>
      <c r="F1022" s="109"/>
      <c r="G1022" s="108"/>
      <c r="H1022" s="108"/>
      <c r="I1022" s="190"/>
      <c r="J1022" s="108"/>
      <c r="K1022" s="106"/>
      <c r="L1022" s="107"/>
      <c r="M1022" s="107"/>
      <c r="N1022" s="106"/>
      <c r="O1022" s="106"/>
      <c r="Q1022" s="271"/>
      <c r="R1022" s="16"/>
      <c r="S1022" s="276"/>
      <c r="T1022" s="16"/>
      <c r="U1022" s="16"/>
      <c r="V1022" s="16"/>
      <c r="W1022" s="16"/>
      <c r="X1022" s="16"/>
      <c r="Y1022" s="16"/>
      <c r="Z1022" s="16"/>
    </row>
    <row r="1023" spans="1:26" ht="15.75" customHeight="1" x14ac:dyDescent="0.35">
      <c r="A1023" s="16"/>
      <c r="B1023" s="108"/>
      <c r="C1023" s="170"/>
      <c r="D1023" s="141"/>
      <c r="E1023" s="109"/>
      <c r="F1023" s="109"/>
      <c r="G1023" s="108"/>
      <c r="H1023" s="108"/>
      <c r="I1023" s="190"/>
      <c r="J1023" s="108"/>
      <c r="K1023" s="106"/>
      <c r="L1023" s="107"/>
      <c r="M1023" s="107"/>
      <c r="N1023" s="106"/>
      <c r="O1023" s="106"/>
      <c r="Q1023" s="271"/>
      <c r="R1023" s="16"/>
      <c r="S1023" s="276"/>
      <c r="T1023" s="16"/>
      <c r="U1023" s="16"/>
      <c r="V1023" s="16"/>
      <c r="W1023" s="16"/>
      <c r="X1023" s="16"/>
      <c r="Y1023" s="16"/>
      <c r="Z1023" s="16"/>
    </row>
    <row r="1024" spans="1:26" ht="15.75" customHeight="1" x14ac:dyDescent="0.35">
      <c r="A1024" s="16"/>
      <c r="B1024" s="108"/>
      <c r="C1024" s="170"/>
      <c r="D1024" s="141"/>
      <c r="E1024" s="109"/>
      <c r="F1024" s="109"/>
      <c r="G1024" s="108"/>
      <c r="H1024" s="108"/>
      <c r="I1024" s="190"/>
      <c r="J1024" s="108"/>
      <c r="K1024" s="106"/>
      <c r="L1024" s="107"/>
      <c r="M1024" s="107"/>
      <c r="N1024" s="106"/>
      <c r="O1024" s="106"/>
      <c r="Q1024" s="271"/>
      <c r="R1024" s="16"/>
      <c r="S1024" s="276"/>
      <c r="T1024" s="16"/>
      <c r="U1024" s="16"/>
      <c r="V1024" s="16"/>
      <c r="W1024" s="16"/>
      <c r="X1024" s="16"/>
      <c r="Y1024" s="16"/>
      <c r="Z1024" s="16"/>
    </row>
    <row r="1025" spans="1:26" ht="15.75" customHeight="1" x14ac:dyDescent="0.35">
      <c r="A1025" s="16"/>
      <c r="B1025" s="108"/>
      <c r="C1025" s="170"/>
      <c r="D1025" s="141"/>
      <c r="E1025" s="109"/>
      <c r="F1025" s="109"/>
      <c r="G1025" s="108"/>
      <c r="H1025" s="108"/>
      <c r="I1025" s="190"/>
      <c r="J1025" s="108"/>
      <c r="K1025" s="106"/>
      <c r="L1025" s="107"/>
      <c r="M1025" s="107"/>
      <c r="N1025" s="106"/>
      <c r="O1025" s="106"/>
      <c r="Q1025" s="271"/>
      <c r="R1025" s="16"/>
      <c r="S1025" s="276"/>
      <c r="T1025" s="16"/>
      <c r="U1025" s="16"/>
      <c r="V1025" s="16"/>
      <c r="W1025" s="16"/>
      <c r="X1025" s="16"/>
      <c r="Y1025" s="16"/>
      <c r="Z1025" s="16"/>
    </row>
    <row r="1026" spans="1:26" ht="15.75" customHeight="1" x14ac:dyDescent="0.35">
      <c r="A1026" s="16"/>
      <c r="B1026" s="108"/>
      <c r="C1026" s="170"/>
      <c r="D1026" s="141"/>
      <c r="E1026" s="109"/>
      <c r="F1026" s="109"/>
      <c r="G1026" s="108"/>
      <c r="H1026" s="108"/>
      <c r="I1026" s="190"/>
      <c r="J1026" s="108"/>
      <c r="K1026" s="106"/>
      <c r="L1026" s="107"/>
      <c r="M1026" s="107"/>
      <c r="N1026" s="106"/>
      <c r="O1026" s="106"/>
      <c r="Q1026" s="271"/>
      <c r="R1026" s="16"/>
      <c r="S1026" s="276"/>
      <c r="T1026" s="16"/>
      <c r="U1026" s="16"/>
      <c r="V1026" s="16"/>
      <c r="W1026" s="16"/>
      <c r="X1026" s="16"/>
      <c r="Y1026" s="16"/>
      <c r="Z1026" s="16"/>
    </row>
    <row r="1027" spans="1:26" ht="15.75" customHeight="1" x14ac:dyDescent="0.35">
      <c r="A1027" s="16"/>
      <c r="B1027" s="108"/>
      <c r="C1027" s="170"/>
      <c r="D1027" s="141"/>
      <c r="E1027" s="109"/>
      <c r="F1027" s="109"/>
      <c r="G1027" s="108"/>
      <c r="H1027" s="108"/>
      <c r="I1027" s="190"/>
      <c r="J1027" s="108"/>
      <c r="K1027" s="106"/>
      <c r="L1027" s="107"/>
      <c r="M1027" s="107"/>
      <c r="N1027" s="106"/>
      <c r="O1027" s="106"/>
      <c r="Q1027" s="271"/>
      <c r="R1027" s="16"/>
      <c r="S1027" s="276"/>
      <c r="T1027" s="16"/>
      <c r="U1027" s="16"/>
      <c r="V1027" s="16"/>
      <c r="W1027" s="16"/>
      <c r="X1027" s="16"/>
      <c r="Y1027" s="16"/>
      <c r="Z1027" s="16"/>
    </row>
    <row r="1028" spans="1:26" ht="15.75" customHeight="1" x14ac:dyDescent="0.35">
      <c r="A1028" s="16"/>
      <c r="B1028" s="108"/>
      <c r="C1028" s="170"/>
      <c r="D1028" s="141"/>
      <c r="E1028" s="109"/>
      <c r="F1028" s="109"/>
      <c r="G1028" s="108"/>
      <c r="H1028" s="108"/>
      <c r="I1028" s="190"/>
      <c r="J1028" s="108"/>
      <c r="K1028" s="106"/>
      <c r="L1028" s="107"/>
      <c r="M1028" s="107"/>
      <c r="N1028" s="106"/>
      <c r="O1028" s="106"/>
      <c r="Q1028" s="271"/>
      <c r="R1028" s="16"/>
      <c r="S1028" s="276"/>
      <c r="T1028" s="16"/>
      <c r="U1028" s="16"/>
      <c r="V1028" s="16"/>
      <c r="W1028" s="16"/>
      <c r="X1028" s="16"/>
      <c r="Y1028" s="16"/>
      <c r="Z1028" s="16"/>
    </row>
    <row r="1029" spans="1:26" ht="15.75" customHeight="1" x14ac:dyDescent="0.35">
      <c r="A1029" s="16"/>
      <c r="B1029" s="108"/>
      <c r="C1029" s="170"/>
      <c r="D1029" s="141"/>
      <c r="E1029" s="109"/>
      <c r="F1029" s="109"/>
      <c r="G1029" s="108"/>
      <c r="H1029" s="108"/>
      <c r="I1029" s="190"/>
      <c r="J1029" s="108"/>
      <c r="K1029" s="106"/>
      <c r="L1029" s="107"/>
      <c r="M1029" s="107"/>
      <c r="N1029" s="106"/>
      <c r="O1029" s="106"/>
      <c r="Q1029" s="271"/>
      <c r="R1029" s="16"/>
      <c r="S1029" s="276"/>
      <c r="T1029" s="16"/>
      <c r="U1029" s="16"/>
      <c r="V1029" s="16"/>
      <c r="W1029" s="16"/>
      <c r="X1029" s="16"/>
      <c r="Y1029" s="16"/>
      <c r="Z1029" s="16"/>
    </row>
    <row r="1030" spans="1:26" ht="15.75" customHeight="1" x14ac:dyDescent="0.35">
      <c r="A1030" s="16"/>
      <c r="B1030" s="108"/>
      <c r="C1030" s="170"/>
      <c r="D1030" s="141"/>
      <c r="E1030" s="109"/>
      <c r="F1030" s="109"/>
      <c r="G1030" s="108"/>
      <c r="H1030" s="108"/>
      <c r="I1030" s="190"/>
      <c r="J1030" s="108"/>
      <c r="K1030" s="106"/>
      <c r="L1030" s="107"/>
      <c r="M1030" s="107"/>
      <c r="N1030" s="106"/>
      <c r="O1030" s="106"/>
      <c r="Q1030" s="271"/>
      <c r="R1030" s="16"/>
      <c r="S1030" s="276"/>
      <c r="T1030" s="16"/>
      <c r="U1030" s="16"/>
      <c r="V1030" s="16"/>
      <c r="W1030" s="16"/>
      <c r="X1030" s="16"/>
      <c r="Y1030" s="16"/>
      <c r="Z1030" s="16"/>
    </row>
    <row r="1031" spans="1:26" ht="15.75" customHeight="1" x14ac:dyDescent="0.35">
      <c r="A1031" s="16"/>
      <c r="B1031" s="108"/>
      <c r="C1031" s="170"/>
      <c r="D1031" s="141"/>
      <c r="E1031" s="109"/>
      <c r="F1031" s="109"/>
      <c r="G1031" s="108"/>
      <c r="H1031" s="108"/>
      <c r="I1031" s="190"/>
      <c r="J1031" s="108"/>
      <c r="K1031" s="106"/>
      <c r="L1031" s="107"/>
      <c r="M1031" s="107"/>
      <c r="N1031" s="106"/>
      <c r="O1031" s="106"/>
      <c r="Q1031" s="271"/>
      <c r="R1031" s="16"/>
      <c r="S1031" s="276"/>
      <c r="T1031" s="16"/>
      <c r="U1031" s="16"/>
      <c r="V1031" s="16"/>
      <c r="W1031" s="16"/>
      <c r="X1031" s="16"/>
      <c r="Y1031" s="16"/>
      <c r="Z1031" s="16"/>
    </row>
    <row r="1032" spans="1:26" ht="15.75" customHeight="1" x14ac:dyDescent="0.35">
      <c r="A1032" s="16"/>
      <c r="B1032" s="108"/>
      <c r="C1032" s="170"/>
      <c r="D1032" s="141"/>
      <c r="E1032" s="109"/>
      <c r="F1032" s="109"/>
      <c r="G1032" s="108"/>
      <c r="H1032" s="108"/>
      <c r="I1032" s="190"/>
      <c r="J1032" s="108"/>
      <c r="K1032" s="106"/>
      <c r="L1032" s="107"/>
      <c r="M1032" s="107"/>
      <c r="N1032" s="106"/>
      <c r="O1032" s="106"/>
      <c r="Q1032" s="271"/>
      <c r="R1032" s="16"/>
      <c r="S1032" s="276"/>
      <c r="T1032" s="16"/>
      <c r="U1032" s="16"/>
      <c r="V1032" s="16"/>
      <c r="W1032" s="16"/>
      <c r="X1032" s="16"/>
      <c r="Y1032" s="16"/>
      <c r="Z1032" s="16"/>
    </row>
    <row r="1033" spans="1:26" ht="15.75" customHeight="1" x14ac:dyDescent="0.35">
      <c r="A1033" s="16"/>
      <c r="B1033" s="108"/>
      <c r="C1033" s="170"/>
      <c r="D1033" s="141"/>
      <c r="E1033" s="109"/>
      <c r="F1033" s="109"/>
      <c r="G1033" s="108"/>
      <c r="H1033" s="108"/>
      <c r="I1033" s="190"/>
      <c r="J1033" s="108"/>
      <c r="K1033" s="106"/>
      <c r="L1033" s="107"/>
      <c r="M1033" s="107"/>
      <c r="N1033" s="106"/>
      <c r="O1033" s="106"/>
      <c r="Q1033" s="271"/>
      <c r="R1033" s="16"/>
      <c r="S1033" s="276"/>
      <c r="T1033" s="16"/>
      <c r="U1033" s="16"/>
      <c r="V1033" s="16"/>
      <c r="W1033" s="16"/>
      <c r="X1033" s="16"/>
      <c r="Y1033" s="16"/>
      <c r="Z1033" s="16"/>
    </row>
    <row r="1034" spans="1:26" ht="15.75" customHeight="1" x14ac:dyDescent="0.35">
      <c r="A1034" s="16"/>
      <c r="B1034" s="108"/>
      <c r="C1034" s="170"/>
      <c r="D1034" s="141"/>
      <c r="E1034" s="109"/>
      <c r="F1034" s="109"/>
      <c r="G1034" s="108"/>
      <c r="H1034" s="108"/>
      <c r="I1034" s="190"/>
      <c r="J1034" s="108"/>
      <c r="K1034" s="106"/>
      <c r="L1034" s="107"/>
      <c r="M1034" s="107"/>
      <c r="N1034" s="106"/>
      <c r="O1034" s="106"/>
      <c r="Q1034" s="271"/>
      <c r="R1034" s="16"/>
      <c r="S1034" s="276"/>
      <c r="T1034" s="16"/>
      <c r="U1034" s="16"/>
      <c r="V1034" s="16"/>
      <c r="W1034" s="16"/>
      <c r="X1034" s="16"/>
      <c r="Y1034" s="16"/>
      <c r="Z1034" s="16"/>
    </row>
    <row r="1035" spans="1:26" ht="15.75" customHeight="1" x14ac:dyDescent="0.35">
      <c r="A1035" s="16"/>
      <c r="B1035" s="108"/>
      <c r="C1035" s="170"/>
      <c r="D1035" s="141"/>
      <c r="E1035" s="109"/>
      <c r="F1035" s="109"/>
      <c r="G1035" s="108"/>
      <c r="H1035" s="108"/>
      <c r="I1035" s="190"/>
      <c r="J1035" s="108"/>
      <c r="K1035" s="106"/>
      <c r="L1035" s="107"/>
      <c r="M1035" s="107"/>
      <c r="N1035" s="106"/>
      <c r="O1035" s="106"/>
      <c r="Q1035" s="271"/>
      <c r="R1035" s="16"/>
      <c r="S1035" s="276"/>
      <c r="T1035" s="16"/>
      <c r="U1035" s="16"/>
      <c r="V1035" s="16"/>
      <c r="W1035" s="16"/>
      <c r="X1035" s="16"/>
      <c r="Y1035" s="16"/>
      <c r="Z1035" s="16"/>
    </row>
    <row r="1036" spans="1:26" ht="15.75" customHeight="1" x14ac:dyDescent="0.35">
      <c r="A1036" s="16"/>
      <c r="B1036" s="108"/>
      <c r="C1036" s="170"/>
      <c r="D1036" s="141"/>
      <c r="E1036" s="109"/>
      <c r="F1036" s="109"/>
      <c r="G1036" s="108"/>
      <c r="H1036" s="108"/>
      <c r="I1036" s="190"/>
      <c r="J1036" s="108"/>
      <c r="K1036" s="106"/>
      <c r="L1036" s="107"/>
      <c r="M1036" s="107"/>
      <c r="N1036" s="106"/>
      <c r="O1036" s="106"/>
      <c r="Q1036" s="271"/>
      <c r="R1036" s="16"/>
      <c r="S1036" s="276"/>
      <c r="T1036" s="16"/>
      <c r="U1036" s="16"/>
      <c r="V1036" s="16"/>
      <c r="W1036" s="16"/>
      <c r="X1036" s="16"/>
      <c r="Y1036" s="16"/>
      <c r="Z1036" s="16"/>
    </row>
    <row r="1037" spans="1:26" ht="15.75" customHeight="1" x14ac:dyDescent="0.35">
      <c r="A1037" s="16"/>
      <c r="B1037" s="108"/>
      <c r="C1037" s="170"/>
      <c r="D1037" s="141"/>
      <c r="E1037" s="109"/>
      <c r="F1037" s="109"/>
      <c r="G1037" s="108"/>
      <c r="H1037" s="108"/>
      <c r="I1037" s="190"/>
      <c r="J1037" s="108"/>
      <c r="K1037" s="106"/>
      <c r="L1037" s="107"/>
      <c r="M1037" s="107"/>
      <c r="N1037" s="106"/>
      <c r="O1037" s="106"/>
      <c r="Q1037" s="271"/>
      <c r="R1037" s="16"/>
      <c r="S1037" s="276"/>
      <c r="T1037" s="16"/>
      <c r="U1037" s="16"/>
      <c r="V1037" s="16"/>
      <c r="W1037" s="16"/>
      <c r="X1037" s="16"/>
      <c r="Y1037" s="16"/>
      <c r="Z1037" s="16"/>
    </row>
    <row r="1038" spans="1:26" ht="15.75" customHeight="1" x14ac:dyDescent="0.35">
      <c r="A1038" s="16"/>
      <c r="B1038" s="108"/>
      <c r="C1038" s="170"/>
      <c r="D1038" s="141"/>
      <c r="E1038" s="109"/>
      <c r="F1038" s="109"/>
      <c r="G1038" s="108"/>
      <c r="H1038" s="108"/>
      <c r="I1038" s="190"/>
      <c r="J1038" s="108"/>
      <c r="K1038" s="106"/>
      <c r="L1038" s="107"/>
      <c r="M1038" s="107"/>
      <c r="N1038" s="106"/>
      <c r="O1038" s="106"/>
      <c r="Q1038" s="271"/>
      <c r="R1038" s="16"/>
      <c r="S1038" s="276"/>
      <c r="T1038" s="16"/>
      <c r="U1038" s="16"/>
      <c r="V1038" s="16"/>
      <c r="W1038" s="16"/>
      <c r="X1038" s="16"/>
      <c r="Y1038" s="16"/>
      <c r="Z1038" s="16"/>
    </row>
    <row r="1039" spans="1:26" ht="15.75" customHeight="1" x14ac:dyDescent="0.35">
      <c r="A1039" s="16"/>
      <c r="B1039" s="108"/>
      <c r="C1039" s="170"/>
      <c r="D1039" s="141"/>
      <c r="E1039" s="109"/>
      <c r="F1039" s="109"/>
      <c r="G1039" s="108"/>
      <c r="H1039" s="108"/>
      <c r="I1039" s="190"/>
      <c r="J1039" s="108"/>
      <c r="K1039" s="106"/>
      <c r="L1039" s="107"/>
      <c r="M1039" s="107"/>
      <c r="N1039" s="106"/>
      <c r="O1039" s="106"/>
      <c r="Q1039" s="271"/>
      <c r="R1039" s="16"/>
      <c r="S1039" s="276"/>
      <c r="T1039" s="16"/>
      <c r="U1039" s="16"/>
      <c r="V1039" s="16"/>
      <c r="W1039" s="16"/>
      <c r="X1039" s="16"/>
      <c r="Y1039" s="16"/>
      <c r="Z1039" s="16"/>
    </row>
    <row r="1040" spans="1:26" ht="15.75" customHeight="1" x14ac:dyDescent="0.35">
      <c r="A1040" s="16"/>
      <c r="B1040" s="108"/>
      <c r="C1040" s="170"/>
      <c r="D1040" s="141"/>
      <c r="E1040" s="109"/>
      <c r="F1040" s="109"/>
      <c r="G1040" s="108"/>
      <c r="H1040" s="108"/>
      <c r="I1040" s="190"/>
      <c r="J1040" s="108"/>
      <c r="K1040" s="106"/>
      <c r="L1040" s="107"/>
      <c r="M1040" s="107"/>
      <c r="N1040" s="106"/>
      <c r="O1040" s="106"/>
      <c r="Q1040" s="271"/>
      <c r="R1040" s="16"/>
      <c r="S1040" s="276"/>
      <c r="T1040" s="16"/>
      <c r="U1040" s="16"/>
      <c r="V1040" s="16"/>
      <c r="W1040" s="16"/>
      <c r="X1040" s="16"/>
      <c r="Y1040" s="16"/>
      <c r="Z1040" s="16"/>
    </row>
    <row r="1041" spans="1:26" ht="15.75" customHeight="1" x14ac:dyDescent="0.35">
      <c r="A1041" s="16"/>
      <c r="B1041" s="108"/>
      <c r="C1041" s="170"/>
      <c r="D1041" s="141"/>
      <c r="E1041" s="109"/>
      <c r="F1041" s="109"/>
      <c r="G1041" s="108"/>
      <c r="H1041" s="108"/>
      <c r="I1041" s="190"/>
      <c r="J1041" s="108"/>
      <c r="K1041" s="106"/>
      <c r="L1041" s="107"/>
      <c r="M1041" s="107"/>
      <c r="N1041" s="106"/>
      <c r="O1041" s="106"/>
      <c r="Q1041" s="271"/>
      <c r="R1041" s="16"/>
      <c r="S1041" s="276"/>
      <c r="T1041" s="16"/>
      <c r="U1041" s="16"/>
      <c r="V1041" s="16"/>
      <c r="W1041" s="16"/>
      <c r="X1041" s="16"/>
      <c r="Y1041" s="16"/>
      <c r="Z1041" s="16"/>
    </row>
    <row r="1042" spans="1:26" ht="15.75" customHeight="1" x14ac:dyDescent="0.35">
      <c r="A1042" s="16"/>
      <c r="B1042" s="108"/>
      <c r="C1042" s="170"/>
      <c r="D1042" s="141"/>
      <c r="E1042" s="109"/>
      <c r="F1042" s="109"/>
      <c r="G1042" s="108"/>
      <c r="H1042" s="108"/>
      <c r="I1042" s="190"/>
      <c r="J1042" s="108"/>
      <c r="K1042" s="106"/>
      <c r="L1042" s="107"/>
      <c r="M1042" s="107"/>
      <c r="N1042" s="106"/>
      <c r="O1042" s="106"/>
      <c r="Q1042" s="271"/>
      <c r="R1042" s="16"/>
      <c r="S1042" s="276"/>
      <c r="T1042" s="16"/>
      <c r="U1042" s="16"/>
      <c r="V1042" s="16"/>
      <c r="W1042" s="16"/>
      <c r="X1042" s="16"/>
      <c r="Y1042" s="16"/>
      <c r="Z1042" s="16"/>
    </row>
    <row r="1043" spans="1:26" ht="15.75" customHeight="1" x14ac:dyDescent="0.35">
      <c r="A1043" s="16"/>
      <c r="B1043" s="108"/>
      <c r="C1043" s="170"/>
      <c r="D1043" s="141"/>
      <c r="E1043" s="109"/>
      <c r="F1043" s="109"/>
      <c r="G1043" s="108"/>
      <c r="H1043" s="108"/>
      <c r="I1043" s="190"/>
      <c r="J1043" s="108"/>
      <c r="K1043" s="106"/>
      <c r="L1043" s="107"/>
      <c r="M1043" s="107"/>
      <c r="N1043" s="106"/>
      <c r="O1043" s="106"/>
      <c r="Q1043" s="271"/>
      <c r="R1043" s="16"/>
      <c r="S1043" s="276"/>
      <c r="T1043" s="16"/>
      <c r="U1043" s="16"/>
      <c r="V1043" s="16"/>
      <c r="W1043" s="16"/>
      <c r="X1043" s="16"/>
      <c r="Y1043" s="16"/>
      <c r="Z1043" s="16"/>
    </row>
    <row r="1044" spans="1:26" ht="15.75" customHeight="1" x14ac:dyDescent="0.35">
      <c r="A1044" s="16"/>
      <c r="B1044" s="108"/>
      <c r="C1044" s="170"/>
      <c r="D1044" s="141"/>
      <c r="E1044" s="109"/>
      <c r="F1044" s="109"/>
      <c r="G1044" s="108"/>
      <c r="H1044" s="108"/>
      <c r="I1044" s="190"/>
      <c r="J1044" s="108"/>
      <c r="K1044" s="106"/>
      <c r="L1044" s="107"/>
      <c r="M1044" s="107"/>
      <c r="N1044" s="106"/>
      <c r="O1044" s="106"/>
      <c r="Q1044" s="271"/>
      <c r="R1044" s="16"/>
      <c r="S1044" s="276"/>
      <c r="T1044" s="16"/>
      <c r="U1044" s="16"/>
      <c r="V1044" s="16"/>
      <c r="W1044" s="16"/>
      <c r="X1044" s="16"/>
      <c r="Y1044" s="16"/>
      <c r="Z1044" s="16"/>
    </row>
    <row r="1045" spans="1:26" ht="15.75" customHeight="1" x14ac:dyDescent="0.35">
      <c r="A1045" s="16"/>
      <c r="B1045" s="108"/>
      <c r="C1045" s="170"/>
      <c r="D1045" s="141"/>
      <c r="E1045" s="109"/>
      <c r="F1045" s="109"/>
      <c r="G1045" s="108"/>
      <c r="H1045" s="108"/>
      <c r="I1045" s="190"/>
      <c r="J1045" s="108"/>
      <c r="K1045" s="106"/>
      <c r="L1045" s="107"/>
      <c r="M1045" s="107"/>
      <c r="N1045" s="106"/>
      <c r="O1045" s="106"/>
      <c r="Q1045" s="271"/>
      <c r="R1045" s="16"/>
      <c r="S1045" s="276"/>
      <c r="T1045" s="16"/>
      <c r="U1045" s="16"/>
      <c r="V1045" s="16"/>
      <c r="W1045" s="16"/>
      <c r="X1045" s="16"/>
      <c r="Y1045" s="16"/>
      <c r="Z1045" s="16"/>
    </row>
    <row r="1046" spans="1:26" ht="15.75" customHeight="1" x14ac:dyDescent="0.35">
      <c r="A1046" s="16"/>
      <c r="B1046" s="108"/>
      <c r="C1046" s="170"/>
      <c r="D1046" s="141"/>
      <c r="E1046" s="109"/>
      <c r="F1046" s="109"/>
      <c r="G1046" s="108"/>
      <c r="H1046" s="108"/>
      <c r="I1046" s="190"/>
      <c r="J1046" s="108"/>
      <c r="K1046" s="106"/>
      <c r="L1046" s="107"/>
      <c r="M1046" s="107"/>
      <c r="N1046" s="106"/>
      <c r="O1046" s="106"/>
      <c r="Q1046" s="271"/>
      <c r="R1046" s="16"/>
      <c r="S1046" s="276"/>
      <c r="T1046" s="16"/>
      <c r="U1046" s="16"/>
      <c r="V1046" s="16"/>
      <c r="W1046" s="16"/>
      <c r="X1046" s="16"/>
      <c r="Y1046" s="16"/>
      <c r="Z1046" s="16"/>
    </row>
    <row r="1047" spans="1:26" ht="15.75" customHeight="1" x14ac:dyDescent="0.35">
      <c r="A1047" s="16"/>
      <c r="B1047" s="108"/>
      <c r="C1047" s="170"/>
      <c r="D1047" s="141"/>
      <c r="E1047" s="109"/>
      <c r="F1047" s="109"/>
      <c r="G1047" s="108"/>
      <c r="H1047" s="108"/>
      <c r="I1047" s="190"/>
      <c r="J1047" s="108"/>
      <c r="K1047" s="106"/>
      <c r="L1047" s="107"/>
      <c r="M1047" s="107"/>
      <c r="N1047" s="106"/>
      <c r="O1047" s="106"/>
      <c r="Q1047" s="271"/>
      <c r="R1047" s="16"/>
      <c r="S1047" s="276"/>
      <c r="T1047" s="16"/>
      <c r="U1047" s="16"/>
      <c r="V1047" s="16"/>
      <c r="W1047" s="16"/>
      <c r="X1047" s="16"/>
      <c r="Y1047" s="16"/>
      <c r="Z1047" s="16"/>
    </row>
    <row r="1048" spans="1:26" ht="15.75" customHeight="1" x14ac:dyDescent="0.35">
      <c r="A1048" s="16"/>
      <c r="B1048" s="108"/>
      <c r="C1048" s="170"/>
      <c r="D1048" s="141"/>
      <c r="E1048" s="109"/>
      <c r="F1048" s="109"/>
      <c r="G1048" s="108"/>
      <c r="H1048" s="108"/>
      <c r="I1048" s="190"/>
      <c r="J1048" s="108"/>
      <c r="K1048" s="106"/>
      <c r="L1048" s="107"/>
      <c r="M1048" s="107"/>
      <c r="N1048" s="106"/>
      <c r="O1048" s="106"/>
      <c r="Q1048" s="271"/>
      <c r="R1048" s="16"/>
      <c r="S1048" s="276"/>
      <c r="T1048" s="16"/>
      <c r="U1048" s="16"/>
      <c r="V1048" s="16"/>
      <c r="W1048" s="16"/>
      <c r="X1048" s="16"/>
      <c r="Y1048" s="16"/>
      <c r="Z1048" s="16"/>
    </row>
    <row r="1049" spans="1:26" ht="15.75" customHeight="1" x14ac:dyDescent="0.35">
      <c r="A1049" s="16"/>
      <c r="B1049" s="108"/>
      <c r="C1049" s="170"/>
      <c r="D1049" s="141"/>
      <c r="E1049" s="109"/>
      <c r="F1049" s="109"/>
      <c r="G1049" s="108"/>
      <c r="H1049" s="108"/>
      <c r="I1049" s="190"/>
      <c r="J1049" s="108"/>
      <c r="K1049" s="106"/>
      <c r="L1049" s="107"/>
      <c r="M1049" s="107"/>
      <c r="N1049" s="106"/>
      <c r="O1049" s="106"/>
      <c r="Q1049" s="271"/>
      <c r="R1049" s="16"/>
      <c r="S1049" s="276"/>
      <c r="T1049" s="16"/>
      <c r="U1049" s="16"/>
      <c r="V1049" s="16"/>
      <c r="W1049" s="16"/>
      <c r="X1049" s="16"/>
      <c r="Y1049" s="16"/>
      <c r="Z1049" s="16"/>
    </row>
    <row r="1050" spans="1:26" ht="15.75" customHeight="1" x14ac:dyDescent="0.35">
      <c r="A1050" s="16"/>
      <c r="B1050" s="108"/>
      <c r="C1050" s="170"/>
      <c r="D1050" s="141"/>
      <c r="E1050" s="109"/>
      <c r="F1050" s="109"/>
      <c r="G1050" s="108"/>
      <c r="H1050" s="108"/>
      <c r="I1050" s="190"/>
      <c r="J1050" s="108"/>
      <c r="K1050" s="106"/>
      <c r="L1050" s="107"/>
      <c r="M1050" s="107"/>
      <c r="N1050" s="106"/>
      <c r="O1050" s="106"/>
      <c r="Q1050" s="271"/>
      <c r="R1050" s="16"/>
      <c r="S1050" s="276"/>
      <c r="T1050" s="16"/>
      <c r="U1050" s="16"/>
      <c r="V1050" s="16"/>
      <c r="W1050" s="16"/>
      <c r="X1050" s="16"/>
      <c r="Y1050" s="16"/>
      <c r="Z1050" s="16"/>
    </row>
    <row r="1051" spans="1:26" ht="15.75" customHeight="1" x14ac:dyDescent="0.35">
      <c r="A1051" s="16"/>
      <c r="B1051" s="108"/>
      <c r="C1051" s="170"/>
      <c r="D1051" s="141"/>
      <c r="E1051" s="109"/>
      <c r="F1051" s="109"/>
      <c r="G1051" s="108"/>
      <c r="H1051" s="108"/>
      <c r="I1051" s="190"/>
      <c r="J1051" s="108"/>
      <c r="K1051" s="106"/>
      <c r="L1051" s="107"/>
      <c r="M1051" s="107"/>
      <c r="N1051" s="106"/>
      <c r="O1051" s="106"/>
      <c r="Q1051" s="271"/>
      <c r="R1051" s="16"/>
      <c r="S1051" s="276"/>
      <c r="T1051" s="16"/>
      <c r="U1051" s="16"/>
      <c r="V1051" s="16"/>
      <c r="W1051" s="16"/>
      <c r="X1051" s="16"/>
      <c r="Y1051" s="16"/>
      <c r="Z1051" s="16"/>
    </row>
    <row r="1052" spans="1:26" ht="15.75" customHeight="1" x14ac:dyDescent="0.35">
      <c r="A1052" s="16"/>
      <c r="B1052" s="108"/>
      <c r="C1052" s="170"/>
      <c r="D1052" s="141"/>
      <c r="E1052" s="109"/>
      <c r="F1052" s="109"/>
      <c r="G1052" s="108"/>
      <c r="H1052" s="108"/>
      <c r="I1052" s="190"/>
      <c r="J1052" s="108"/>
      <c r="K1052" s="106"/>
      <c r="L1052" s="107"/>
      <c r="M1052" s="107"/>
      <c r="N1052" s="106"/>
      <c r="O1052" s="106"/>
      <c r="Q1052" s="271"/>
      <c r="R1052" s="16"/>
      <c r="S1052" s="276"/>
      <c r="T1052" s="16"/>
      <c r="U1052" s="16"/>
      <c r="V1052" s="16"/>
      <c r="W1052" s="16"/>
      <c r="X1052" s="16"/>
      <c r="Y1052" s="16"/>
      <c r="Z1052" s="16"/>
    </row>
    <row r="1053" spans="1:26" ht="15.75" customHeight="1" x14ac:dyDescent="0.35">
      <c r="A1053" s="16"/>
      <c r="B1053" s="108"/>
      <c r="C1053" s="170"/>
      <c r="D1053" s="141"/>
      <c r="E1053" s="109"/>
      <c r="F1053" s="109"/>
      <c r="G1053" s="108"/>
      <c r="H1053" s="108"/>
      <c r="I1053" s="190"/>
      <c r="J1053" s="108"/>
      <c r="K1053" s="106"/>
      <c r="L1053" s="107"/>
      <c r="M1053" s="107"/>
      <c r="N1053" s="106"/>
      <c r="O1053" s="106"/>
      <c r="Q1053" s="271"/>
      <c r="R1053" s="16"/>
      <c r="S1053" s="276"/>
      <c r="T1053" s="16"/>
      <c r="U1053" s="16"/>
      <c r="V1053" s="16"/>
      <c r="W1053" s="16"/>
      <c r="X1053" s="16"/>
      <c r="Y1053" s="16"/>
      <c r="Z1053" s="16"/>
    </row>
    <row r="1054" spans="1:26" ht="15.75" customHeight="1" x14ac:dyDescent="0.35">
      <c r="A1054" s="16"/>
      <c r="B1054" s="108"/>
      <c r="C1054" s="170"/>
      <c r="D1054" s="141"/>
      <c r="E1054" s="109"/>
      <c r="F1054" s="109"/>
      <c r="G1054" s="108"/>
      <c r="H1054" s="108"/>
      <c r="I1054" s="190"/>
      <c r="J1054" s="108"/>
      <c r="K1054" s="106"/>
      <c r="L1054" s="107"/>
      <c r="M1054" s="107"/>
      <c r="N1054" s="106"/>
      <c r="O1054" s="106"/>
      <c r="Q1054" s="271"/>
      <c r="R1054" s="16"/>
      <c r="S1054" s="276"/>
      <c r="T1054" s="16"/>
      <c r="U1054" s="16"/>
      <c r="V1054" s="16"/>
      <c r="W1054" s="16"/>
      <c r="X1054" s="16"/>
      <c r="Y1054" s="16"/>
      <c r="Z1054" s="16"/>
    </row>
    <row r="1055" spans="1:26" ht="15.75" customHeight="1" x14ac:dyDescent="0.35">
      <c r="A1055" s="16"/>
      <c r="B1055" s="108"/>
      <c r="C1055" s="170"/>
      <c r="D1055" s="141"/>
      <c r="E1055" s="109"/>
      <c r="F1055" s="109"/>
      <c r="G1055" s="108"/>
      <c r="H1055" s="108"/>
      <c r="I1055" s="190"/>
      <c r="J1055" s="108"/>
      <c r="K1055" s="106"/>
      <c r="L1055" s="107"/>
      <c r="M1055" s="107"/>
      <c r="N1055" s="106"/>
      <c r="O1055" s="106"/>
      <c r="Q1055" s="271"/>
      <c r="R1055" s="16"/>
      <c r="S1055" s="276"/>
      <c r="T1055" s="16"/>
      <c r="U1055" s="16"/>
      <c r="V1055" s="16"/>
      <c r="W1055" s="16"/>
      <c r="X1055" s="16"/>
      <c r="Y1055" s="16"/>
      <c r="Z1055" s="16"/>
    </row>
    <row r="1056" spans="1:26" ht="15.75" customHeight="1" x14ac:dyDescent="0.35">
      <c r="A1056" s="16"/>
      <c r="B1056" s="108"/>
      <c r="C1056" s="170"/>
      <c r="D1056" s="141"/>
      <c r="E1056" s="109"/>
      <c r="F1056" s="109"/>
      <c r="G1056" s="108"/>
      <c r="H1056" s="108"/>
      <c r="I1056" s="190"/>
      <c r="J1056" s="108"/>
      <c r="K1056" s="106"/>
      <c r="L1056" s="107"/>
      <c r="M1056" s="107"/>
      <c r="N1056" s="106"/>
      <c r="O1056" s="106"/>
      <c r="Q1056" s="271"/>
      <c r="R1056" s="16"/>
      <c r="S1056" s="276"/>
      <c r="T1056" s="16"/>
      <c r="U1056" s="16"/>
      <c r="V1056" s="16"/>
      <c r="W1056" s="16"/>
      <c r="X1056" s="16"/>
      <c r="Y1056" s="16"/>
      <c r="Z1056" s="16"/>
    </row>
    <row r="1057" spans="1:26" ht="15.75" customHeight="1" x14ac:dyDescent="0.35">
      <c r="A1057" s="16"/>
      <c r="B1057" s="108"/>
      <c r="C1057" s="170"/>
      <c r="D1057" s="141"/>
      <c r="E1057" s="109"/>
      <c r="F1057" s="109"/>
      <c r="G1057" s="108"/>
      <c r="H1057" s="108"/>
      <c r="I1057" s="190"/>
      <c r="J1057" s="108"/>
      <c r="K1057" s="106"/>
      <c r="L1057" s="107"/>
      <c r="M1057" s="107"/>
      <c r="N1057" s="106"/>
      <c r="O1057" s="106"/>
      <c r="Q1057" s="271"/>
      <c r="R1057" s="16"/>
      <c r="S1057" s="276"/>
      <c r="T1057" s="16"/>
      <c r="U1057" s="16"/>
      <c r="V1057" s="16"/>
      <c r="W1057" s="16"/>
      <c r="X1057" s="16"/>
      <c r="Y1057" s="16"/>
      <c r="Z1057" s="16"/>
    </row>
    <row r="1058" spans="1:26" ht="15.75" customHeight="1" x14ac:dyDescent="0.35">
      <c r="A1058" s="16"/>
      <c r="B1058" s="108"/>
      <c r="C1058" s="170"/>
      <c r="D1058" s="141"/>
      <c r="E1058" s="109"/>
      <c r="F1058" s="109"/>
      <c r="G1058" s="108"/>
      <c r="H1058" s="108"/>
      <c r="I1058" s="190"/>
      <c r="J1058" s="108"/>
      <c r="K1058" s="106"/>
      <c r="L1058" s="107"/>
      <c r="M1058" s="107"/>
      <c r="N1058" s="106"/>
      <c r="O1058" s="106"/>
      <c r="Q1058" s="271"/>
      <c r="R1058" s="16"/>
      <c r="S1058" s="276"/>
      <c r="T1058" s="16"/>
      <c r="U1058" s="16"/>
      <c r="V1058" s="16"/>
      <c r="W1058" s="16"/>
      <c r="X1058" s="16"/>
      <c r="Y1058" s="16"/>
      <c r="Z1058" s="16"/>
    </row>
    <row r="1059" spans="1:26" ht="15.75" customHeight="1" x14ac:dyDescent="0.35">
      <c r="A1059" s="16"/>
      <c r="B1059" s="108"/>
      <c r="C1059" s="170"/>
      <c r="D1059" s="141"/>
      <c r="E1059" s="109"/>
      <c r="F1059" s="109"/>
      <c r="G1059" s="108"/>
      <c r="H1059" s="108"/>
      <c r="I1059" s="190"/>
      <c r="J1059" s="108"/>
      <c r="K1059" s="106"/>
      <c r="L1059" s="107"/>
      <c r="M1059" s="107"/>
      <c r="N1059" s="106"/>
      <c r="O1059" s="106"/>
      <c r="Q1059" s="271"/>
      <c r="R1059" s="16"/>
      <c r="S1059" s="276"/>
      <c r="T1059" s="16"/>
      <c r="U1059" s="16"/>
      <c r="V1059" s="16"/>
      <c r="W1059" s="16"/>
      <c r="X1059" s="16"/>
      <c r="Y1059" s="16"/>
      <c r="Z1059" s="16"/>
    </row>
    <row r="1060" spans="1:26" ht="15.75" customHeight="1" x14ac:dyDescent="0.35">
      <c r="A1060" s="16"/>
      <c r="B1060" s="108"/>
      <c r="C1060" s="170"/>
      <c r="D1060" s="141"/>
      <c r="E1060" s="109"/>
      <c r="F1060" s="109"/>
      <c r="G1060" s="108"/>
      <c r="H1060" s="108"/>
      <c r="I1060" s="190"/>
      <c r="J1060" s="108"/>
      <c r="K1060" s="106"/>
      <c r="L1060" s="107"/>
      <c r="M1060" s="107"/>
      <c r="N1060" s="106"/>
      <c r="O1060" s="106"/>
      <c r="Q1060" s="271"/>
      <c r="R1060" s="16"/>
      <c r="S1060" s="276"/>
      <c r="T1060" s="16"/>
      <c r="U1060" s="16"/>
      <c r="V1060" s="16"/>
      <c r="W1060" s="16"/>
      <c r="X1060" s="16"/>
      <c r="Y1060" s="16"/>
      <c r="Z1060" s="16"/>
    </row>
    <row r="1061" spans="1:26" ht="15.75" customHeight="1" x14ac:dyDescent="0.35">
      <c r="A1061" s="16"/>
      <c r="B1061" s="108"/>
      <c r="C1061" s="170"/>
      <c r="D1061" s="141"/>
      <c r="E1061" s="109"/>
      <c r="F1061" s="109"/>
      <c r="G1061" s="108"/>
      <c r="H1061" s="108"/>
      <c r="I1061" s="190"/>
      <c r="J1061" s="108"/>
      <c r="K1061" s="106"/>
      <c r="L1061" s="107"/>
      <c r="M1061" s="107"/>
      <c r="N1061" s="106"/>
      <c r="O1061" s="106"/>
      <c r="Q1061" s="271"/>
      <c r="R1061" s="16"/>
      <c r="S1061" s="276"/>
      <c r="T1061" s="16"/>
      <c r="U1061" s="16"/>
      <c r="V1061" s="16"/>
      <c r="W1061" s="16"/>
      <c r="X1061" s="16"/>
      <c r="Y1061" s="16"/>
      <c r="Z1061" s="16"/>
    </row>
    <row r="1062" spans="1:26" ht="15.75" customHeight="1" x14ac:dyDescent="0.35">
      <c r="A1062" s="16"/>
      <c r="B1062" s="108"/>
      <c r="C1062" s="170"/>
      <c r="D1062" s="141"/>
      <c r="E1062" s="109"/>
      <c r="F1062" s="109"/>
      <c r="G1062" s="108"/>
      <c r="H1062" s="108"/>
      <c r="I1062" s="190"/>
      <c r="J1062" s="108"/>
      <c r="K1062" s="106"/>
      <c r="L1062" s="107"/>
      <c r="M1062" s="107"/>
      <c r="N1062" s="106"/>
      <c r="O1062" s="106"/>
      <c r="Q1062" s="271"/>
      <c r="R1062" s="16"/>
      <c r="S1062" s="276"/>
      <c r="T1062" s="16"/>
      <c r="U1062" s="16"/>
      <c r="V1062" s="16"/>
      <c r="W1062" s="16"/>
      <c r="X1062" s="16"/>
      <c r="Y1062" s="16"/>
      <c r="Z1062" s="16"/>
    </row>
    <row r="1063" spans="1:26" ht="15.75" customHeight="1" x14ac:dyDescent="0.35">
      <c r="A1063" s="16"/>
      <c r="B1063" s="108"/>
      <c r="C1063" s="170"/>
      <c r="D1063" s="141"/>
      <c r="E1063" s="109"/>
      <c r="F1063" s="109"/>
      <c r="G1063" s="108"/>
      <c r="H1063" s="108"/>
      <c r="I1063" s="190"/>
      <c r="J1063" s="108"/>
      <c r="K1063" s="106"/>
      <c r="L1063" s="107"/>
      <c r="M1063" s="107"/>
      <c r="N1063" s="106"/>
      <c r="O1063" s="106"/>
      <c r="Q1063" s="271"/>
      <c r="R1063" s="16"/>
      <c r="S1063" s="276"/>
      <c r="T1063" s="16"/>
      <c r="U1063" s="16"/>
      <c r="V1063" s="16"/>
      <c r="W1063" s="16"/>
      <c r="X1063" s="16"/>
      <c r="Y1063" s="16"/>
      <c r="Z1063" s="16"/>
    </row>
    <row r="1064" spans="1:26" ht="15.75" customHeight="1" x14ac:dyDescent="0.35">
      <c r="A1064" s="16"/>
      <c r="B1064" s="108"/>
      <c r="C1064" s="170"/>
      <c r="D1064" s="141"/>
      <c r="E1064" s="109"/>
      <c r="F1064" s="109"/>
      <c r="G1064" s="108"/>
      <c r="H1064" s="108"/>
      <c r="I1064" s="190"/>
      <c r="J1064" s="108"/>
      <c r="K1064" s="106"/>
      <c r="L1064" s="107"/>
      <c r="M1064" s="107"/>
      <c r="N1064" s="106"/>
      <c r="O1064" s="106"/>
      <c r="Q1064" s="271"/>
      <c r="R1064" s="16"/>
      <c r="S1064" s="276"/>
      <c r="T1064" s="16"/>
      <c r="U1064" s="16"/>
      <c r="V1064" s="16"/>
      <c r="W1064" s="16"/>
      <c r="X1064" s="16"/>
      <c r="Y1064" s="16"/>
      <c r="Z1064" s="16"/>
    </row>
    <row r="1065" spans="1:26" ht="15.75" customHeight="1" x14ac:dyDescent="0.35">
      <c r="A1065" s="16"/>
      <c r="B1065" s="108"/>
      <c r="C1065" s="170"/>
      <c r="D1065" s="141"/>
      <c r="E1065" s="109"/>
      <c r="F1065" s="109"/>
      <c r="G1065" s="108"/>
      <c r="H1065" s="108"/>
      <c r="I1065" s="190"/>
      <c r="J1065" s="108"/>
      <c r="K1065" s="106"/>
      <c r="L1065" s="107"/>
      <c r="M1065" s="107"/>
      <c r="N1065" s="106"/>
      <c r="O1065" s="106"/>
      <c r="Q1065" s="271"/>
      <c r="R1065" s="16"/>
      <c r="S1065" s="276"/>
      <c r="T1065" s="16"/>
      <c r="U1065" s="16"/>
      <c r="V1065" s="16"/>
      <c r="W1065" s="16"/>
      <c r="X1065" s="16"/>
      <c r="Y1065" s="16"/>
      <c r="Z1065" s="16"/>
    </row>
    <row r="1066" spans="1:26" ht="15.75" customHeight="1" x14ac:dyDescent="0.35">
      <c r="A1066" s="16"/>
      <c r="B1066" s="108"/>
      <c r="C1066" s="170"/>
      <c r="D1066" s="141"/>
      <c r="E1066" s="109"/>
      <c r="F1066" s="109"/>
      <c r="G1066" s="108"/>
      <c r="H1066" s="108"/>
      <c r="I1066" s="190"/>
      <c r="J1066" s="108"/>
      <c r="K1066" s="106"/>
      <c r="L1066" s="107"/>
      <c r="M1066" s="107"/>
      <c r="N1066" s="106"/>
      <c r="O1066" s="106"/>
      <c r="Q1066" s="271"/>
      <c r="R1066" s="16"/>
      <c r="S1066" s="276"/>
      <c r="T1066" s="16"/>
      <c r="U1066" s="16"/>
      <c r="V1066" s="16"/>
      <c r="W1066" s="16"/>
      <c r="X1066" s="16"/>
      <c r="Y1066" s="16"/>
      <c r="Z1066" s="16"/>
    </row>
    <row r="1067" spans="1:26" ht="15.75" customHeight="1" x14ac:dyDescent="0.35">
      <c r="A1067" s="16"/>
      <c r="B1067" s="108"/>
      <c r="C1067" s="170"/>
      <c r="D1067" s="141"/>
      <c r="E1067" s="109"/>
      <c r="F1067" s="109"/>
      <c r="G1067" s="108"/>
      <c r="H1067" s="108"/>
      <c r="I1067" s="190"/>
      <c r="J1067" s="108"/>
      <c r="K1067" s="106"/>
      <c r="L1067" s="107"/>
      <c r="M1067" s="107"/>
      <c r="N1067" s="106"/>
      <c r="O1067" s="106"/>
      <c r="Q1067" s="271"/>
      <c r="R1067" s="16"/>
      <c r="S1067" s="276"/>
      <c r="T1067" s="16"/>
      <c r="U1067" s="16"/>
      <c r="V1067" s="16"/>
      <c r="W1067" s="16"/>
      <c r="X1067" s="16"/>
      <c r="Y1067" s="16"/>
      <c r="Z1067" s="16"/>
    </row>
    <row r="1068" spans="1:26" ht="15.75" customHeight="1" x14ac:dyDescent="0.35">
      <c r="A1068" s="16"/>
      <c r="B1068" s="108"/>
      <c r="C1068" s="170"/>
      <c r="D1068" s="141"/>
      <c r="E1068" s="109"/>
      <c r="F1068" s="109"/>
      <c r="G1068" s="108"/>
      <c r="H1068" s="108"/>
      <c r="I1068" s="190"/>
      <c r="J1068" s="108"/>
      <c r="K1068" s="106"/>
      <c r="L1068" s="107"/>
      <c r="M1068" s="107"/>
      <c r="N1068" s="106"/>
      <c r="O1068" s="106"/>
      <c r="Q1068" s="271"/>
      <c r="R1068" s="16"/>
      <c r="S1068" s="276"/>
      <c r="T1068" s="16"/>
      <c r="U1068" s="16"/>
      <c r="V1068" s="16"/>
      <c r="W1068" s="16"/>
      <c r="X1068" s="16"/>
      <c r="Y1068" s="16"/>
      <c r="Z1068" s="16"/>
    </row>
    <row r="1069" spans="1:26" ht="15.75" customHeight="1" x14ac:dyDescent="0.35">
      <c r="A1069" s="16"/>
      <c r="B1069" s="108"/>
      <c r="C1069" s="170"/>
      <c r="D1069" s="141"/>
      <c r="E1069" s="109"/>
      <c r="F1069" s="109"/>
      <c r="G1069" s="108"/>
      <c r="H1069" s="108"/>
      <c r="I1069" s="190"/>
      <c r="J1069" s="108"/>
      <c r="K1069" s="106"/>
      <c r="L1069" s="107"/>
      <c r="M1069" s="107"/>
      <c r="N1069" s="106"/>
      <c r="O1069" s="106"/>
      <c r="Q1069" s="271"/>
      <c r="R1069" s="16"/>
      <c r="S1069" s="276"/>
      <c r="T1069" s="16"/>
      <c r="U1069" s="16"/>
      <c r="V1069" s="16"/>
      <c r="W1069" s="16"/>
      <c r="X1069" s="16"/>
      <c r="Y1069" s="16"/>
      <c r="Z1069" s="16"/>
    </row>
    <row r="1070" spans="1:26" ht="15.75" customHeight="1" x14ac:dyDescent="0.35">
      <c r="A1070" s="16"/>
      <c r="B1070" s="108"/>
      <c r="C1070" s="170"/>
      <c r="D1070" s="141"/>
      <c r="E1070" s="109"/>
      <c r="F1070" s="109"/>
      <c r="G1070" s="108"/>
      <c r="H1070" s="108"/>
      <c r="I1070" s="190"/>
      <c r="J1070" s="108"/>
      <c r="K1070" s="106"/>
      <c r="L1070" s="107"/>
      <c r="M1070" s="107"/>
      <c r="N1070" s="106"/>
      <c r="O1070" s="106"/>
      <c r="Q1070" s="271"/>
      <c r="R1070" s="16"/>
      <c r="S1070" s="276"/>
      <c r="T1070" s="16"/>
      <c r="U1070" s="16"/>
      <c r="V1070" s="16"/>
      <c r="W1070" s="16"/>
      <c r="X1070" s="16"/>
      <c r="Y1070" s="16"/>
      <c r="Z1070" s="16"/>
    </row>
    <row r="1071" spans="1:26" ht="15.75" customHeight="1" x14ac:dyDescent="0.35">
      <c r="A1071" s="16"/>
      <c r="B1071" s="108"/>
      <c r="C1071" s="170"/>
      <c r="D1071" s="141"/>
      <c r="E1071" s="109"/>
      <c r="F1071" s="109"/>
      <c r="G1071" s="108"/>
      <c r="H1071" s="108"/>
      <c r="I1071" s="190"/>
      <c r="J1071" s="108"/>
      <c r="K1071" s="106"/>
      <c r="L1071" s="107"/>
      <c r="M1071" s="107"/>
      <c r="N1071" s="106"/>
      <c r="O1071" s="106"/>
      <c r="Q1071" s="271"/>
      <c r="R1071" s="16"/>
      <c r="S1071" s="276"/>
      <c r="T1071" s="16"/>
      <c r="U1071" s="16"/>
      <c r="V1071" s="16"/>
      <c r="W1071" s="16"/>
      <c r="X1071" s="16"/>
      <c r="Y1071" s="16"/>
      <c r="Z1071" s="16"/>
    </row>
    <row r="1072" spans="1:26" ht="15.75" customHeight="1" x14ac:dyDescent="0.35">
      <c r="A1072" s="16"/>
      <c r="B1072" s="108"/>
      <c r="C1072" s="170"/>
      <c r="D1072" s="141"/>
      <c r="E1072" s="109"/>
      <c r="F1072" s="109"/>
      <c r="G1072" s="108"/>
      <c r="H1072" s="108"/>
      <c r="I1072" s="190"/>
      <c r="J1072" s="108"/>
      <c r="K1072" s="106"/>
      <c r="L1072" s="107"/>
      <c r="M1072" s="107"/>
      <c r="N1072" s="106"/>
      <c r="O1072" s="106"/>
      <c r="Q1072" s="271"/>
      <c r="R1072" s="16"/>
      <c r="S1072" s="276"/>
      <c r="T1072" s="16"/>
      <c r="U1072" s="16"/>
      <c r="V1072" s="16"/>
      <c r="W1072" s="16"/>
      <c r="X1072" s="16"/>
      <c r="Y1072" s="16"/>
      <c r="Z1072" s="16"/>
    </row>
    <row r="1073" spans="1:26" ht="15.75" customHeight="1" x14ac:dyDescent="0.35">
      <c r="A1073" s="16"/>
      <c r="B1073" s="108"/>
      <c r="C1073" s="170"/>
      <c r="D1073" s="141"/>
      <c r="E1073" s="109"/>
      <c r="F1073" s="109"/>
      <c r="G1073" s="108"/>
      <c r="H1073" s="108"/>
      <c r="I1073" s="190"/>
      <c r="J1073" s="108"/>
      <c r="K1073" s="106"/>
      <c r="L1073" s="107"/>
      <c r="M1073" s="107"/>
      <c r="N1073" s="106"/>
      <c r="O1073" s="106"/>
      <c r="Q1073" s="271"/>
      <c r="R1073" s="16"/>
      <c r="S1073" s="276"/>
      <c r="T1073" s="16"/>
      <c r="U1073" s="16"/>
      <c r="V1073" s="16"/>
      <c r="W1073" s="16"/>
      <c r="X1073" s="16"/>
      <c r="Y1073" s="16"/>
      <c r="Z1073" s="16"/>
    </row>
    <row r="1074" spans="1:26" ht="15.75" customHeight="1" x14ac:dyDescent="0.35">
      <c r="A1074" s="16"/>
      <c r="B1074" s="108"/>
      <c r="C1074" s="170"/>
      <c r="D1074" s="141"/>
      <c r="E1074" s="109"/>
      <c r="F1074" s="109"/>
      <c r="G1074" s="108"/>
      <c r="H1074" s="108"/>
      <c r="I1074" s="190"/>
      <c r="J1074" s="108"/>
      <c r="K1074" s="106"/>
      <c r="L1074" s="107"/>
      <c r="M1074" s="107"/>
      <c r="N1074" s="106"/>
      <c r="O1074" s="106"/>
      <c r="Q1074" s="271"/>
      <c r="R1074" s="16"/>
      <c r="S1074" s="276"/>
      <c r="T1074" s="16"/>
      <c r="U1074" s="16"/>
      <c r="V1074" s="16"/>
      <c r="W1074" s="16"/>
      <c r="X1074" s="16"/>
      <c r="Y1074" s="16"/>
      <c r="Z1074" s="16"/>
    </row>
    <row r="1075" spans="1:26" ht="15.75" customHeight="1" x14ac:dyDescent="0.35">
      <c r="A1075" s="16"/>
      <c r="B1075" s="108"/>
      <c r="C1075" s="170"/>
      <c r="D1075" s="141"/>
      <c r="E1075" s="109"/>
      <c r="F1075" s="109"/>
      <c r="G1075" s="108"/>
      <c r="H1075" s="108"/>
      <c r="I1075" s="190"/>
      <c r="J1075" s="108"/>
      <c r="K1075" s="106"/>
      <c r="L1075" s="107"/>
      <c r="M1075" s="107"/>
      <c r="N1075" s="106"/>
      <c r="O1075" s="106"/>
      <c r="Q1075" s="271"/>
      <c r="R1075" s="16"/>
      <c r="S1075" s="276"/>
      <c r="T1075" s="16"/>
      <c r="U1075" s="16"/>
      <c r="V1075" s="16"/>
      <c r="W1075" s="16"/>
      <c r="X1075" s="16"/>
      <c r="Y1075" s="16"/>
      <c r="Z1075" s="16"/>
    </row>
    <row r="1076" spans="1:26" ht="15.75" customHeight="1" x14ac:dyDescent="0.35">
      <c r="A1076" s="16"/>
      <c r="B1076" s="108"/>
      <c r="C1076" s="170"/>
      <c r="D1076" s="141"/>
      <c r="E1076" s="109"/>
      <c r="F1076" s="109"/>
      <c r="G1076" s="108"/>
      <c r="H1076" s="108"/>
      <c r="I1076" s="190"/>
      <c r="J1076" s="108"/>
      <c r="K1076" s="106"/>
      <c r="L1076" s="107"/>
      <c r="M1076" s="107"/>
      <c r="N1076" s="106"/>
      <c r="O1076" s="106"/>
      <c r="Q1076" s="271"/>
      <c r="R1076" s="16"/>
      <c r="S1076" s="276"/>
      <c r="T1076" s="16"/>
      <c r="U1076" s="16"/>
      <c r="V1076" s="16"/>
      <c r="W1076" s="16"/>
      <c r="X1076" s="16"/>
      <c r="Y1076" s="16"/>
      <c r="Z1076" s="16"/>
    </row>
    <row r="1077" spans="1:26" ht="15.75" customHeight="1" x14ac:dyDescent="0.35">
      <c r="A1077" s="16"/>
      <c r="B1077" s="108"/>
      <c r="C1077" s="170"/>
      <c r="D1077" s="141"/>
      <c r="E1077" s="109"/>
      <c r="F1077" s="109"/>
      <c r="G1077" s="108"/>
      <c r="H1077" s="108"/>
      <c r="I1077" s="190"/>
      <c r="J1077" s="108"/>
      <c r="K1077" s="106"/>
      <c r="L1077" s="107"/>
      <c r="M1077" s="107"/>
      <c r="N1077" s="106"/>
      <c r="O1077" s="106"/>
      <c r="Q1077" s="271"/>
      <c r="R1077" s="16"/>
      <c r="S1077" s="276"/>
      <c r="T1077" s="16"/>
      <c r="U1077" s="16"/>
      <c r="V1077" s="16"/>
      <c r="W1077" s="16"/>
      <c r="X1077" s="16"/>
      <c r="Y1077" s="16"/>
      <c r="Z1077" s="16"/>
    </row>
    <row r="1078" spans="1:26" ht="15.75" customHeight="1" x14ac:dyDescent="0.35">
      <c r="A1078" s="16"/>
      <c r="B1078" s="108"/>
      <c r="C1078" s="170"/>
      <c r="D1078" s="141"/>
      <c r="E1078" s="109"/>
      <c r="F1078" s="109"/>
      <c r="G1078" s="108"/>
      <c r="H1078" s="108"/>
      <c r="I1078" s="190"/>
      <c r="J1078" s="108"/>
      <c r="K1078" s="106"/>
      <c r="L1078" s="107"/>
      <c r="M1078" s="107"/>
      <c r="N1078" s="106"/>
      <c r="O1078" s="106"/>
      <c r="Q1078" s="271"/>
      <c r="R1078" s="16"/>
      <c r="S1078" s="276"/>
      <c r="T1078" s="16"/>
      <c r="U1078" s="16"/>
      <c r="V1078" s="16"/>
      <c r="W1078" s="16"/>
      <c r="X1078" s="16"/>
      <c r="Y1078" s="16"/>
      <c r="Z1078" s="16"/>
    </row>
    <row r="1079" spans="1:26" ht="15.75" customHeight="1" x14ac:dyDescent="0.35">
      <c r="A1079" s="16"/>
      <c r="B1079" s="108"/>
      <c r="C1079" s="170"/>
      <c r="D1079" s="141"/>
      <c r="E1079" s="109"/>
      <c r="F1079" s="109"/>
      <c r="G1079" s="108"/>
      <c r="H1079" s="108"/>
      <c r="I1079" s="190"/>
      <c r="J1079" s="108"/>
      <c r="K1079" s="106"/>
      <c r="L1079" s="107"/>
      <c r="M1079" s="107"/>
      <c r="N1079" s="106"/>
      <c r="O1079" s="106"/>
      <c r="Q1079" s="271"/>
      <c r="R1079" s="16"/>
      <c r="S1079" s="276"/>
      <c r="T1079" s="16"/>
      <c r="U1079" s="16"/>
      <c r="V1079" s="16"/>
      <c r="W1079" s="16"/>
      <c r="X1079" s="16"/>
      <c r="Y1079" s="16"/>
      <c r="Z1079" s="16"/>
    </row>
    <row r="1080" spans="1:26" ht="15.75" customHeight="1" x14ac:dyDescent="0.35">
      <c r="A1080" s="16"/>
      <c r="B1080" s="108"/>
      <c r="C1080" s="170"/>
      <c r="D1080" s="141"/>
      <c r="E1080" s="109"/>
      <c r="F1080" s="109"/>
      <c r="G1080" s="108"/>
      <c r="H1080" s="108"/>
      <c r="I1080" s="190"/>
      <c r="J1080" s="108"/>
      <c r="K1080" s="106"/>
      <c r="L1080" s="107"/>
      <c r="M1080" s="107"/>
      <c r="N1080" s="106"/>
      <c r="O1080" s="106"/>
      <c r="Q1080" s="271"/>
      <c r="R1080" s="16"/>
      <c r="S1080" s="276"/>
      <c r="T1080" s="16"/>
      <c r="U1080" s="16"/>
      <c r="V1080" s="16"/>
      <c r="W1080" s="16"/>
      <c r="X1080" s="16"/>
      <c r="Y1080" s="16"/>
      <c r="Z1080" s="16"/>
    </row>
    <row r="1081" spans="1:26" ht="15.75" customHeight="1" x14ac:dyDescent="0.35">
      <c r="A1081" s="16"/>
      <c r="B1081" s="108"/>
      <c r="C1081" s="170"/>
      <c r="D1081" s="141"/>
      <c r="E1081" s="109"/>
      <c r="F1081" s="109"/>
      <c r="G1081" s="108"/>
      <c r="H1081" s="108"/>
      <c r="I1081" s="190"/>
      <c r="J1081" s="108"/>
      <c r="K1081" s="106"/>
      <c r="L1081" s="107"/>
      <c r="M1081" s="107"/>
      <c r="N1081" s="106"/>
      <c r="O1081" s="106"/>
      <c r="Q1081" s="271"/>
      <c r="R1081" s="16"/>
      <c r="S1081" s="276"/>
      <c r="T1081" s="16"/>
      <c r="U1081" s="16"/>
      <c r="V1081" s="16"/>
      <c r="W1081" s="16"/>
      <c r="X1081" s="16"/>
      <c r="Y1081" s="16"/>
      <c r="Z1081" s="16"/>
    </row>
    <row r="1082" spans="1:26" ht="15.75" customHeight="1" x14ac:dyDescent="0.35">
      <c r="A1082" s="16"/>
      <c r="B1082" s="108"/>
      <c r="C1082" s="170"/>
      <c r="D1082" s="141"/>
      <c r="E1082" s="109"/>
      <c r="F1082" s="109"/>
      <c r="G1082" s="108"/>
      <c r="H1082" s="108"/>
      <c r="I1082" s="190"/>
      <c r="J1082" s="108"/>
      <c r="K1082" s="106"/>
      <c r="L1082" s="107"/>
      <c r="M1082" s="107"/>
      <c r="N1082" s="106"/>
      <c r="O1082" s="106"/>
      <c r="Q1082" s="271"/>
      <c r="R1082" s="16"/>
      <c r="S1082" s="276"/>
      <c r="T1082" s="16"/>
      <c r="U1082" s="16"/>
      <c r="V1082" s="16"/>
      <c r="W1082" s="16"/>
      <c r="X1082" s="16"/>
      <c r="Y1082" s="16"/>
      <c r="Z1082" s="16"/>
    </row>
    <row r="1083" spans="1:26" ht="15.75" customHeight="1" x14ac:dyDescent="0.35">
      <c r="A1083" s="16"/>
      <c r="B1083" s="108"/>
      <c r="C1083" s="170"/>
      <c r="D1083" s="141"/>
      <c r="E1083" s="109"/>
      <c r="F1083" s="109"/>
      <c r="G1083" s="108"/>
      <c r="H1083" s="108"/>
      <c r="I1083" s="190"/>
      <c r="J1083" s="108"/>
      <c r="K1083" s="106"/>
      <c r="L1083" s="107"/>
      <c r="M1083" s="107"/>
      <c r="N1083" s="106"/>
      <c r="O1083" s="106"/>
      <c r="Q1083" s="271"/>
      <c r="R1083" s="16"/>
      <c r="S1083" s="276"/>
      <c r="T1083" s="16"/>
      <c r="U1083" s="16"/>
      <c r="V1083" s="16"/>
      <c r="W1083" s="16"/>
      <c r="X1083" s="16"/>
      <c r="Y1083" s="16"/>
      <c r="Z1083" s="16"/>
    </row>
    <row r="1084" spans="1:26" ht="15.75" customHeight="1" x14ac:dyDescent="0.35">
      <c r="A1084" s="16"/>
      <c r="B1084" s="108"/>
      <c r="C1084" s="170"/>
      <c r="D1084" s="141"/>
      <c r="E1084" s="109"/>
      <c r="F1084" s="109"/>
      <c r="G1084" s="108"/>
      <c r="H1084" s="108"/>
      <c r="I1084" s="190"/>
      <c r="J1084" s="108"/>
      <c r="K1084" s="106"/>
      <c r="L1084" s="107"/>
      <c r="M1084" s="107"/>
      <c r="N1084" s="106"/>
      <c r="O1084" s="106"/>
      <c r="Q1084" s="271"/>
      <c r="R1084" s="16"/>
      <c r="S1084" s="276"/>
      <c r="T1084" s="16"/>
      <c r="U1084" s="16"/>
      <c r="V1084" s="16"/>
      <c r="W1084" s="16"/>
      <c r="X1084" s="16"/>
      <c r="Y1084" s="16"/>
      <c r="Z1084" s="16"/>
    </row>
    <row r="1085" spans="1:26" ht="15.75" customHeight="1" x14ac:dyDescent="0.35">
      <c r="A1085" s="16"/>
      <c r="B1085" s="108"/>
      <c r="C1085" s="170"/>
      <c r="D1085" s="141"/>
      <c r="E1085" s="109"/>
      <c r="F1085" s="109"/>
      <c r="G1085" s="108"/>
      <c r="H1085" s="108"/>
      <c r="I1085" s="190"/>
      <c r="J1085" s="108"/>
      <c r="K1085" s="106"/>
      <c r="L1085" s="107"/>
      <c r="M1085" s="107"/>
      <c r="N1085" s="106"/>
      <c r="O1085" s="106"/>
      <c r="Q1085" s="271"/>
      <c r="R1085" s="16"/>
      <c r="S1085" s="276"/>
      <c r="T1085" s="16"/>
      <c r="U1085" s="16"/>
      <c r="V1085" s="16"/>
      <c r="W1085" s="16"/>
      <c r="X1085" s="16"/>
      <c r="Y1085" s="16"/>
      <c r="Z1085" s="16"/>
    </row>
    <row r="1086" spans="1:26" ht="15.75" customHeight="1" x14ac:dyDescent="0.35">
      <c r="A1086" s="16"/>
      <c r="B1086" s="108"/>
      <c r="C1086" s="170"/>
      <c r="D1086" s="141"/>
      <c r="E1086" s="109"/>
      <c r="F1086" s="109"/>
      <c r="G1086" s="108"/>
      <c r="H1086" s="108"/>
      <c r="I1086" s="190"/>
      <c r="J1086" s="108"/>
      <c r="K1086" s="106"/>
      <c r="L1086" s="107"/>
      <c r="M1086" s="107"/>
      <c r="N1086" s="106"/>
      <c r="O1086" s="106"/>
      <c r="Q1086" s="271"/>
      <c r="R1086" s="16"/>
      <c r="S1086" s="276"/>
      <c r="T1086" s="16"/>
      <c r="U1086" s="16"/>
      <c r="V1086" s="16"/>
      <c r="W1086" s="16"/>
      <c r="X1086" s="16"/>
      <c r="Y1086" s="16"/>
      <c r="Z1086" s="16"/>
    </row>
    <row r="1087" spans="1:26" ht="15.75" customHeight="1" x14ac:dyDescent="0.35">
      <c r="A1087" s="16"/>
      <c r="B1087" s="108"/>
      <c r="C1087" s="170"/>
      <c r="D1087" s="141"/>
      <c r="E1087" s="109"/>
      <c r="F1087" s="109"/>
      <c r="G1087" s="108"/>
      <c r="H1087" s="108"/>
      <c r="I1087" s="190"/>
      <c r="J1087" s="108"/>
      <c r="K1087" s="106"/>
      <c r="L1087" s="107"/>
      <c r="M1087" s="107"/>
      <c r="N1087" s="106"/>
      <c r="O1087" s="106"/>
      <c r="Q1087" s="271"/>
      <c r="R1087" s="16"/>
      <c r="S1087" s="276"/>
      <c r="T1087" s="16"/>
      <c r="U1087" s="16"/>
      <c r="V1087" s="16"/>
      <c r="W1087" s="16"/>
      <c r="X1087" s="16"/>
      <c r="Y1087" s="16"/>
      <c r="Z1087" s="16"/>
    </row>
    <row r="1088" spans="1:26" ht="15.75" customHeight="1" x14ac:dyDescent="0.35">
      <c r="A1088" s="16"/>
      <c r="B1088" s="108"/>
      <c r="C1088" s="170"/>
      <c r="D1088" s="141"/>
      <c r="E1088" s="109"/>
      <c r="F1088" s="109"/>
      <c r="G1088" s="108"/>
      <c r="H1088" s="108"/>
      <c r="I1088" s="190"/>
      <c r="J1088" s="108"/>
      <c r="K1088" s="106"/>
      <c r="L1088" s="107"/>
      <c r="M1088" s="107"/>
      <c r="N1088" s="106"/>
      <c r="O1088" s="106"/>
      <c r="Q1088" s="271"/>
      <c r="R1088" s="16"/>
      <c r="S1088" s="276"/>
      <c r="T1088" s="16"/>
      <c r="U1088" s="16"/>
      <c r="V1088" s="16"/>
      <c r="W1088" s="16"/>
      <c r="X1088" s="16"/>
      <c r="Y1088" s="16"/>
      <c r="Z1088" s="16"/>
    </row>
    <row r="1089" spans="1:26" ht="15.75" customHeight="1" x14ac:dyDescent="0.35">
      <c r="A1089" s="16"/>
      <c r="B1089" s="108"/>
      <c r="C1089" s="170"/>
      <c r="D1089" s="141"/>
      <c r="E1089" s="109"/>
      <c r="F1089" s="109"/>
      <c r="G1089" s="108"/>
      <c r="H1089" s="108"/>
      <c r="I1089" s="190"/>
      <c r="J1089" s="108"/>
      <c r="K1089" s="106"/>
      <c r="L1089" s="107"/>
      <c r="M1089" s="107"/>
      <c r="N1089" s="106"/>
      <c r="O1089" s="106"/>
      <c r="Q1089" s="271"/>
      <c r="R1089" s="16"/>
      <c r="S1089" s="276"/>
      <c r="T1089" s="16"/>
      <c r="U1089" s="16"/>
      <c r="V1089" s="16"/>
      <c r="W1089" s="16"/>
      <c r="X1089" s="16"/>
      <c r="Y1089" s="16"/>
      <c r="Z1089" s="16"/>
    </row>
    <row r="1090" spans="1:26" ht="15.75" customHeight="1" x14ac:dyDescent="0.35">
      <c r="A1090" s="16"/>
      <c r="B1090" s="108"/>
      <c r="C1090" s="170"/>
      <c r="D1090" s="141"/>
      <c r="E1090" s="109"/>
      <c r="F1090" s="109"/>
      <c r="G1090" s="108"/>
      <c r="H1090" s="108"/>
      <c r="I1090" s="190"/>
      <c r="J1090" s="108"/>
      <c r="K1090" s="106"/>
      <c r="L1090" s="107"/>
      <c r="M1090" s="107"/>
      <c r="N1090" s="106"/>
      <c r="O1090" s="106"/>
      <c r="Q1090" s="271"/>
      <c r="R1090" s="16"/>
      <c r="S1090" s="276"/>
      <c r="T1090" s="16"/>
      <c r="U1090" s="16"/>
      <c r="V1090" s="16"/>
      <c r="W1090" s="16"/>
      <c r="X1090" s="16"/>
      <c r="Y1090" s="16"/>
      <c r="Z1090" s="16"/>
    </row>
    <row r="1091" spans="1:26" ht="15.75" customHeight="1" x14ac:dyDescent="0.35">
      <c r="A1091" s="16"/>
      <c r="B1091" s="108"/>
      <c r="C1091" s="170"/>
      <c r="D1091" s="141"/>
      <c r="E1091" s="109"/>
      <c r="F1091" s="109"/>
      <c r="G1091" s="108"/>
      <c r="H1091" s="108"/>
      <c r="I1091" s="190"/>
      <c r="J1091" s="108"/>
      <c r="K1091" s="106"/>
      <c r="L1091" s="107"/>
      <c r="M1091" s="107"/>
      <c r="N1091" s="106"/>
      <c r="O1091" s="106"/>
      <c r="Q1091" s="271"/>
      <c r="R1091" s="16"/>
      <c r="S1091" s="276"/>
      <c r="T1091" s="16"/>
      <c r="U1091" s="16"/>
      <c r="V1091" s="16"/>
      <c r="W1091" s="16"/>
      <c r="X1091" s="16"/>
      <c r="Y1091" s="16"/>
      <c r="Z1091" s="16"/>
    </row>
    <row r="1092" spans="1:26" ht="15.75" customHeight="1" x14ac:dyDescent="0.35">
      <c r="A1092" s="16"/>
      <c r="B1092" s="108"/>
      <c r="C1092" s="170"/>
      <c r="D1092" s="141"/>
      <c r="E1092" s="109"/>
      <c r="F1092" s="109"/>
      <c r="G1092" s="108"/>
      <c r="H1092" s="108"/>
      <c r="I1092" s="190"/>
      <c r="J1092" s="108"/>
      <c r="K1092" s="106"/>
      <c r="L1092" s="107"/>
      <c r="M1092" s="107"/>
      <c r="N1092" s="106"/>
      <c r="O1092" s="106"/>
      <c r="Q1092" s="271"/>
      <c r="R1092" s="16"/>
      <c r="S1092" s="276"/>
      <c r="T1092" s="16"/>
      <c r="U1092" s="16"/>
      <c r="V1092" s="16"/>
      <c r="W1092" s="16"/>
      <c r="X1092" s="16"/>
      <c r="Y1092" s="16"/>
      <c r="Z1092" s="16"/>
    </row>
    <row r="1093" spans="1:26" ht="15.75" customHeight="1" x14ac:dyDescent="0.35">
      <c r="A1093" s="16"/>
      <c r="B1093" s="108"/>
      <c r="C1093" s="170"/>
      <c r="D1093" s="141"/>
      <c r="E1093" s="109"/>
      <c r="F1093" s="109"/>
      <c r="G1093" s="108"/>
      <c r="H1093" s="108"/>
      <c r="I1093" s="190"/>
      <c r="J1093" s="108"/>
      <c r="K1093" s="106"/>
      <c r="L1093" s="107"/>
      <c r="M1093" s="107"/>
      <c r="N1093" s="106"/>
      <c r="O1093" s="106"/>
      <c r="Q1093" s="271"/>
      <c r="R1093" s="16"/>
      <c r="S1093" s="276"/>
      <c r="T1093" s="16"/>
      <c r="U1093" s="16"/>
      <c r="V1093" s="16"/>
      <c r="W1093" s="16"/>
      <c r="X1093" s="16"/>
      <c r="Y1093" s="16"/>
      <c r="Z1093" s="16"/>
    </row>
    <row r="1094" spans="1:26" ht="15.75" customHeight="1" x14ac:dyDescent="0.35">
      <c r="A1094" s="16"/>
      <c r="B1094" s="108"/>
      <c r="C1094" s="170"/>
      <c r="D1094" s="141"/>
      <c r="E1094" s="109"/>
      <c r="F1094" s="109"/>
      <c r="G1094" s="108"/>
      <c r="H1094" s="108"/>
      <c r="I1094" s="190"/>
      <c r="J1094" s="108"/>
      <c r="K1094" s="106"/>
      <c r="L1094" s="107"/>
      <c r="M1094" s="107"/>
      <c r="N1094" s="106"/>
      <c r="O1094" s="106"/>
      <c r="Q1094" s="271"/>
      <c r="R1094" s="16"/>
      <c r="S1094" s="276"/>
      <c r="T1094" s="16"/>
      <c r="U1094" s="16"/>
      <c r="V1094" s="16"/>
      <c r="W1094" s="16"/>
      <c r="X1094" s="16"/>
      <c r="Y1094" s="16"/>
      <c r="Z1094" s="16"/>
    </row>
    <row r="1095" spans="1:26" ht="15.75" customHeight="1" x14ac:dyDescent="0.35">
      <c r="A1095" s="16"/>
      <c r="B1095" s="108"/>
      <c r="C1095" s="170"/>
      <c r="D1095" s="141"/>
      <c r="E1095" s="109"/>
      <c r="F1095" s="109"/>
      <c r="G1095" s="108"/>
      <c r="H1095" s="108"/>
      <c r="I1095" s="190"/>
      <c r="J1095" s="108"/>
      <c r="K1095" s="106"/>
      <c r="L1095" s="107"/>
      <c r="M1095" s="107"/>
      <c r="N1095" s="106"/>
      <c r="O1095" s="106"/>
      <c r="Q1095" s="271"/>
      <c r="R1095" s="16"/>
      <c r="S1095" s="276"/>
      <c r="T1095" s="16"/>
      <c r="U1095" s="16"/>
      <c r="V1095" s="16"/>
      <c r="W1095" s="16"/>
      <c r="X1095" s="16"/>
      <c r="Y1095" s="16"/>
      <c r="Z1095" s="16"/>
    </row>
    <row r="1096" spans="1:26" ht="15.75" customHeight="1" x14ac:dyDescent="0.35">
      <c r="A1096" s="16"/>
      <c r="B1096" s="108"/>
      <c r="C1096" s="170"/>
      <c r="D1096" s="141"/>
      <c r="E1096" s="109"/>
      <c r="F1096" s="109"/>
      <c r="G1096" s="108"/>
      <c r="H1096" s="108"/>
      <c r="I1096" s="190"/>
      <c r="J1096" s="108"/>
      <c r="K1096" s="106"/>
      <c r="L1096" s="107"/>
      <c r="M1096" s="107"/>
      <c r="N1096" s="106"/>
      <c r="O1096" s="106"/>
      <c r="Q1096" s="271"/>
      <c r="R1096" s="16"/>
      <c r="S1096" s="276"/>
      <c r="T1096" s="16"/>
      <c r="U1096" s="16"/>
      <c r="V1096" s="16"/>
      <c r="W1096" s="16"/>
      <c r="X1096" s="16"/>
      <c r="Y1096" s="16"/>
      <c r="Z1096" s="16"/>
    </row>
    <row r="1097" spans="1:26" ht="15.75" customHeight="1" x14ac:dyDescent="0.35">
      <c r="A1097" s="16"/>
      <c r="B1097" s="108"/>
      <c r="C1097" s="170"/>
      <c r="D1097" s="141"/>
      <c r="E1097" s="109"/>
      <c r="F1097" s="109"/>
      <c r="G1097" s="108"/>
      <c r="H1097" s="108"/>
      <c r="I1097" s="190"/>
      <c r="J1097" s="108"/>
      <c r="K1097" s="106"/>
      <c r="L1097" s="107"/>
      <c r="M1097" s="107"/>
      <c r="N1097" s="106"/>
      <c r="O1097" s="106"/>
      <c r="Q1097" s="271"/>
      <c r="R1097" s="16"/>
      <c r="S1097" s="276"/>
      <c r="T1097" s="16"/>
      <c r="U1097" s="16"/>
      <c r="V1097" s="16"/>
      <c r="W1097" s="16"/>
      <c r="X1097" s="16"/>
      <c r="Y1097" s="16"/>
      <c r="Z1097" s="16"/>
    </row>
    <row r="1098" spans="1:26" ht="15.75" customHeight="1" x14ac:dyDescent="0.35">
      <c r="A1098" s="16"/>
      <c r="B1098" s="108"/>
      <c r="C1098" s="170"/>
      <c r="D1098" s="141"/>
      <c r="E1098" s="109"/>
      <c r="F1098" s="109"/>
      <c r="G1098" s="108"/>
      <c r="H1098" s="108"/>
      <c r="I1098" s="190"/>
      <c r="J1098" s="108"/>
      <c r="K1098" s="106"/>
      <c r="L1098" s="107"/>
      <c r="M1098" s="107"/>
      <c r="N1098" s="106"/>
      <c r="O1098" s="106"/>
      <c r="Q1098" s="271"/>
      <c r="R1098" s="16"/>
      <c r="S1098" s="276"/>
      <c r="T1098" s="16"/>
      <c r="U1098" s="16"/>
      <c r="V1098" s="16"/>
      <c r="W1098" s="16"/>
      <c r="X1098" s="16"/>
      <c r="Y1098" s="16"/>
      <c r="Z1098" s="16"/>
    </row>
    <row r="1099" spans="1:26" ht="15.75" customHeight="1" x14ac:dyDescent="0.35">
      <c r="A1099" s="16"/>
      <c r="B1099" s="108"/>
      <c r="C1099" s="170"/>
      <c r="D1099" s="141"/>
      <c r="E1099" s="109"/>
      <c r="F1099" s="109"/>
      <c r="G1099" s="108"/>
      <c r="H1099" s="108"/>
      <c r="I1099" s="190"/>
      <c r="J1099" s="108"/>
      <c r="K1099" s="106"/>
      <c r="L1099" s="107"/>
      <c r="M1099" s="107"/>
      <c r="N1099" s="106"/>
      <c r="O1099" s="106"/>
      <c r="Q1099" s="271"/>
      <c r="R1099" s="16"/>
      <c r="S1099" s="276"/>
      <c r="T1099" s="16"/>
      <c r="U1099" s="16"/>
      <c r="V1099" s="16"/>
      <c r="W1099" s="16"/>
      <c r="X1099" s="16"/>
      <c r="Y1099" s="16"/>
      <c r="Z1099" s="16"/>
    </row>
    <row r="1100" spans="1:26" ht="15.75" customHeight="1" x14ac:dyDescent="0.35">
      <c r="A1100" s="16"/>
      <c r="B1100" s="108"/>
      <c r="C1100" s="170"/>
      <c r="D1100" s="141"/>
      <c r="E1100" s="109"/>
      <c r="F1100" s="109"/>
      <c r="G1100" s="108"/>
      <c r="H1100" s="108"/>
      <c r="I1100" s="190"/>
      <c r="J1100" s="108"/>
      <c r="K1100" s="106"/>
      <c r="L1100" s="107"/>
      <c r="M1100" s="107"/>
      <c r="N1100" s="106"/>
      <c r="O1100" s="106"/>
      <c r="Q1100" s="271"/>
      <c r="R1100" s="16"/>
      <c r="S1100" s="276"/>
      <c r="T1100" s="16"/>
      <c r="U1100" s="16"/>
      <c r="V1100" s="16"/>
      <c r="W1100" s="16"/>
      <c r="X1100" s="16"/>
      <c r="Y1100" s="16"/>
      <c r="Z1100" s="16"/>
    </row>
    <row r="1101" spans="1:26" ht="15.75" customHeight="1" x14ac:dyDescent="0.35">
      <c r="A1101" s="16"/>
      <c r="B1101" s="108"/>
      <c r="C1101" s="170"/>
      <c r="D1101" s="141"/>
      <c r="E1101" s="109"/>
      <c r="F1101" s="109"/>
      <c r="G1101" s="108"/>
      <c r="H1101" s="108"/>
      <c r="I1101" s="190"/>
      <c r="J1101" s="108"/>
      <c r="K1101" s="106"/>
      <c r="L1101" s="107"/>
      <c r="M1101" s="107"/>
      <c r="N1101" s="106"/>
      <c r="O1101" s="106"/>
      <c r="Q1101" s="271"/>
      <c r="R1101" s="16"/>
      <c r="S1101" s="276"/>
      <c r="T1101" s="16"/>
      <c r="U1101" s="16"/>
      <c r="V1101" s="16"/>
      <c r="W1101" s="16"/>
      <c r="X1101" s="16"/>
      <c r="Y1101" s="16"/>
      <c r="Z1101" s="16"/>
    </row>
    <row r="1102" spans="1:26" ht="15.75" customHeight="1" x14ac:dyDescent="0.35">
      <c r="A1102" s="16"/>
      <c r="B1102" s="108"/>
      <c r="C1102" s="170"/>
      <c r="D1102" s="141"/>
      <c r="E1102" s="109"/>
      <c r="F1102" s="109"/>
      <c r="G1102" s="108"/>
      <c r="H1102" s="108"/>
      <c r="I1102" s="190"/>
      <c r="J1102" s="108"/>
      <c r="K1102" s="106"/>
      <c r="L1102" s="107"/>
      <c r="M1102" s="107"/>
      <c r="N1102" s="106"/>
      <c r="O1102" s="106"/>
      <c r="Q1102" s="271"/>
      <c r="R1102" s="16"/>
      <c r="S1102" s="276"/>
      <c r="T1102" s="16"/>
      <c r="U1102" s="16"/>
      <c r="V1102" s="16"/>
      <c r="W1102" s="16"/>
      <c r="X1102" s="16"/>
      <c r="Y1102" s="16"/>
      <c r="Z1102" s="16"/>
    </row>
    <row r="1103" spans="1:26" ht="15.75" customHeight="1" x14ac:dyDescent="0.35">
      <c r="A1103" s="16"/>
      <c r="B1103" s="108"/>
      <c r="C1103" s="170"/>
      <c r="D1103" s="141"/>
      <c r="E1103" s="109"/>
      <c r="F1103" s="109"/>
      <c r="G1103" s="108"/>
      <c r="H1103" s="108"/>
      <c r="I1103" s="190"/>
      <c r="J1103" s="108"/>
      <c r="K1103" s="106"/>
      <c r="L1103" s="107"/>
      <c r="M1103" s="107"/>
      <c r="N1103" s="106"/>
      <c r="O1103" s="106"/>
      <c r="Q1103" s="271"/>
      <c r="R1103" s="16"/>
      <c r="S1103" s="276"/>
      <c r="T1103" s="16"/>
      <c r="U1103" s="16"/>
      <c r="V1103" s="16"/>
      <c r="W1103" s="16"/>
      <c r="X1103" s="16"/>
      <c r="Y1103" s="16"/>
      <c r="Z1103" s="16"/>
    </row>
    <row r="1104" spans="1:26" ht="15.75" customHeight="1" x14ac:dyDescent="0.35">
      <c r="A1104" s="16"/>
      <c r="B1104" s="108"/>
      <c r="C1104" s="170"/>
      <c r="D1104" s="141"/>
      <c r="E1104" s="109"/>
      <c r="F1104" s="109"/>
      <c r="G1104" s="108"/>
      <c r="H1104" s="108"/>
      <c r="I1104" s="190"/>
      <c r="J1104" s="108"/>
      <c r="K1104" s="106"/>
      <c r="L1104" s="107"/>
      <c r="M1104" s="107"/>
      <c r="N1104" s="106"/>
      <c r="O1104" s="106"/>
      <c r="Q1104" s="271"/>
      <c r="R1104" s="16"/>
      <c r="S1104" s="276"/>
      <c r="T1104" s="16"/>
      <c r="U1104" s="16"/>
      <c r="V1104" s="16"/>
      <c r="W1104" s="16"/>
      <c r="X1104" s="16"/>
      <c r="Y1104" s="16"/>
      <c r="Z1104" s="16"/>
    </row>
    <row r="1105" spans="1:26" ht="15.75" customHeight="1" x14ac:dyDescent="0.35">
      <c r="A1105" s="16"/>
      <c r="B1105" s="108"/>
      <c r="C1105" s="170"/>
      <c r="D1105" s="141"/>
      <c r="E1105" s="109"/>
      <c r="F1105" s="109"/>
      <c r="G1105" s="108"/>
      <c r="H1105" s="108"/>
      <c r="I1105" s="190"/>
      <c r="J1105" s="108"/>
      <c r="K1105" s="106"/>
      <c r="L1105" s="107"/>
      <c r="M1105" s="107"/>
      <c r="N1105" s="106"/>
      <c r="O1105" s="106"/>
      <c r="Q1105" s="271"/>
      <c r="R1105" s="16"/>
      <c r="S1105" s="276"/>
      <c r="T1105" s="16"/>
      <c r="U1105" s="16"/>
      <c r="V1105" s="16"/>
      <c r="W1105" s="16"/>
      <c r="X1105" s="16"/>
      <c r="Y1105" s="16"/>
      <c r="Z1105" s="16"/>
    </row>
    <row r="1106" spans="1:26" ht="15.75" customHeight="1" x14ac:dyDescent="0.35">
      <c r="A1106" s="16"/>
      <c r="B1106" s="108"/>
      <c r="C1106" s="170"/>
      <c r="D1106" s="141"/>
      <c r="E1106" s="109"/>
      <c r="F1106" s="109"/>
      <c r="G1106" s="108"/>
      <c r="H1106" s="108"/>
      <c r="I1106" s="190"/>
      <c r="J1106" s="108"/>
      <c r="K1106" s="106"/>
      <c r="L1106" s="107"/>
      <c r="M1106" s="107"/>
      <c r="N1106" s="106"/>
      <c r="O1106" s="106"/>
      <c r="Q1106" s="271"/>
      <c r="R1106" s="16"/>
      <c r="S1106" s="276"/>
      <c r="T1106" s="16"/>
      <c r="U1106" s="16"/>
      <c r="V1106" s="16"/>
      <c r="W1106" s="16"/>
      <c r="X1106" s="16"/>
      <c r="Y1106" s="16"/>
      <c r="Z1106" s="16"/>
    </row>
    <row r="1107" spans="1:26" ht="15.75" customHeight="1" x14ac:dyDescent="0.35">
      <c r="A1107" s="16"/>
      <c r="B1107" s="108"/>
      <c r="C1107" s="170"/>
      <c r="D1107" s="141"/>
      <c r="E1107" s="109"/>
      <c r="F1107" s="109"/>
      <c r="G1107" s="108"/>
      <c r="H1107" s="108"/>
      <c r="I1107" s="190"/>
      <c r="J1107" s="108"/>
      <c r="K1107" s="106"/>
      <c r="L1107" s="107"/>
      <c r="M1107" s="107"/>
      <c r="N1107" s="106"/>
      <c r="O1107" s="106"/>
      <c r="Q1107" s="271"/>
      <c r="R1107" s="16"/>
      <c r="S1107" s="276"/>
      <c r="T1107" s="16"/>
      <c r="U1107" s="16"/>
      <c r="V1107" s="16"/>
      <c r="W1107" s="16"/>
      <c r="X1107" s="16"/>
      <c r="Y1107" s="16"/>
      <c r="Z1107" s="16"/>
    </row>
    <row r="1108" spans="1:26" ht="15.75" customHeight="1" x14ac:dyDescent="0.35">
      <c r="A1108" s="16"/>
      <c r="B1108" s="108"/>
      <c r="C1108" s="170"/>
      <c r="D1108" s="141"/>
      <c r="E1108" s="109"/>
      <c r="F1108" s="109"/>
      <c r="G1108" s="108"/>
      <c r="H1108" s="108"/>
      <c r="I1108" s="190"/>
      <c r="J1108" s="108"/>
      <c r="K1108" s="106"/>
      <c r="L1108" s="107"/>
      <c r="M1108" s="107"/>
      <c r="N1108" s="106"/>
      <c r="O1108" s="106"/>
      <c r="Q1108" s="271"/>
      <c r="R1108" s="16"/>
      <c r="S1108" s="276"/>
      <c r="T1108" s="16"/>
      <c r="U1108" s="16"/>
      <c r="V1108" s="16"/>
      <c r="W1108" s="16"/>
      <c r="X1108" s="16"/>
      <c r="Y1108" s="16"/>
      <c r="Z1108" s="16"/>
    </row>
    <row r="1109" spans="1:26" ht="15.75" customHeight="1" x14ac:dyDescent="0.35">
      <c r="A1109" s="16"/>
      <c r="B1109" s="108"/>
      <c r="C1109" s="170"/>
      <c r="D1109" s="141"/>
      <c r="E1109" s="109"/>
      <c r="F1109" s="109"/>
      <c r="G1109" s="108"/>
      <c r="H1109" s="108"/>
      <c r="I1109" s="190"/>
      <c r="J1109" s="108"/>
      <c r="K1109" s="106"/>
      <c r="L1109" s="107"/>
      <c r="M1109" s="107"/>
      <c r="N1109" s="106"/>
      <c r="O1109" s="106"/>
      <c r="Q1109" s="271"/>
      <c r="R1109" s="16"/>
      <c r="S1109" s="276"/>
      <c r="T1109" s="16"/>
      <c r="U1109" s="16"/>
      <c r="V1109" s="16"/>
      <c r="W1109" s="16"/>
      <c r="X1109" s="16"/>
      <c r="Y1109" s="16"/>
      <c r="Z1109" s="16"/>
    </row>
    <row r="1110" spans="1:26" ht="15.75" customHeight="1" x14ac:dyDescent="0.35">
      <c r="A1110" s="16"/>
      <c r="B1110" s="108"/>
      <c r="C1110" s="170"/>
      <c r="D1110" s="141"/>
      <c r="E1110" s="109"/>
      <c r="F1110" s="109"/>
      <c r="G1110" s="108"/>
      <c r="H1110" s="108"/>
      <c r="I1110" s="190"/>
      <c r="J1110" s="108"/>
      <c r="K1110" s="106"/>
      <c r="L1110" s="107"/>
      <c r="M1110" s="107"/>
      <c r="N1110" s="106"/>
      <c r="O1110" s="106"/>
      <c r="Q1110" s="271"/>
      <c r="R1110" s="16"/>
      <c r="S1110" s="276"/>
      <c r="T1110" s="16"/>
      <c r="U1110" s="16"/>
      <c r="V1110" s="16"/>
      <c r="W1110" s="16"/>
      <c r="X1110" s="16"/>
      <c r="Y1110" s="16"/>
      <c r="Z1110" s="16"/>
    </row>
    <row r="1111" spans="1:26" ht="15.75" customHeight="1" x14ac:dyDescent="0.35">
      <c r="A1111" s="16"/>
      <c r="B1111" s="108"/>
      <c r="C1111" s="170"/>
      <c r="D1111" s="141"/>
      <c r="E1111" s="109"/>
      <c r="F1111" s="109"/>
      <c r="G1111" s="108"/>
      <c r="H1111" s="108"/>
      <c r="I1111" s="190"/>
      <c r="J1111" s="108"/>
      <c r="K1111" s="106"/>
      <c r="L1111" s="107"/>
      <c r="M1111" s="107"/>
      <c r="N1111" s="106"/>
      <c r="O1111" s="106"/>
      <c r="Q1111" s="271"/>
      <c r="R1111" s="16"/>
      <c r="S1111" s="276"/>
      <c r="T1111" s="16"/>
      <c r="U1111" s="16"/>
      <c r="V1111" s="16"/>
      <c r="W1111" s="16"/>
      <c r="X1111" s="16"/>
      <c r="Y1111" s="16"/>
      <c r="Z1111" s="16"/>
    </row>
    <row r="1112" spans="1:26" ht="15.75" customHeight="1" x14ac:dyDescent="0.35">
      <c r="A1112" s="16"/>
      <c r="B1112" s="108"/>
      <c r="C1112" s="170"/>
      <c r="D1112" s="141"/>
      <c r="E1112" s="109"/>
      <c r="F1112" s="109"/>
      <c r="G1112" s="108"/>
      <c r="H1112" s="108"/>
      <c r="I1112" s="190"/>
      <c r="J1112" s="108"/>
      <c r="K1112" s="106"/>
      <c r="L1112" s="107"/>
      <c r="M1112" s="107"/>
      <c r="N1112" s="106"/>
      <c r="O1112" s="106"/>
      <c r="Q1112" s="271"/>
      <c r="R1112" s="16"/>
      <c r="S1112" s="276"/>
      <c r="T1112" s="16"/>
      <c r="U1112" s="16"/>
      <c r="V1112" s="16"/>
      <c r="W1112" s="16"/>
      <c r="X1112" s="16"/>
      <c r="Y1112" s="16"/>
      <c r="Z1112" s="16"/>
    </row>
    <row r="1113" spans="1:26" ht="15.75" customHeight="1" x14ac:dyDescent="0.35">
      <c r="A1113" s="16"/>
      <c r="B1113" s="108"/>
      <c r="C1113" s="170"/>
      <c r="D1113" s="141"/>
      <c r="E1113" s="109"/>
      <c r="F1113" s="109"/>
      <c r="G1113" s="108"/>
      <c r="H1113" s="108"/>
      <c r="I1113" s="190"/>
      <c r="J1113" s="108"/>
      <c r="K1113" s="106"/>
      <c r="L1113" s="107"/>
      <c r="M1113" s="107"/>
      <c r="N1113" s="106"/>
      <c r="O1113" s="106"/>
      <c r="Q1113" s="271"/>
      <c r="R1113" s="16"/>
      <c r="S1113" s="276"/>
      <c r="T1113" s="16"/>
      <c r="U1113" s="16"/>
      <c r="V1113" s="16"/>
      <c r="W1113" s="16"/>
      <c r="X1113" s="16"/>
      <c r="Y1113" s="16"/>
      <c r="Z1113" s="16"/>
    </row>
    <row r="1114" spans="1:26" ht="15.75" customHeight="1" x14ac:dyDescent="0.35">
      <c r="A1114" s="16"/>
      <c r="B1114" s="108"/>
      <c r="C1114" s="170"/>
      <c r="D1114" s="141"/>
      <c r="E1114" s="109"/>
      <c r="F1114" s="109"/>
      <c r="G1114" s="108"/>
      <c r="H1114" s="108"/>
      <c r="I1114" s="190"/>
      <c r="J1114" s="108"/>
      <c r="K1114" s="106"/>
      <c r="L1114" s="107"/>
      <c r="M1114" s="107"/>
      <c r="N1114" s="106"/>
      <c r="O1114" s="106"/>
      <c r="Q1114" s="271"/>
      <c r="R1114" s="16"/>
      <c r="S1114" s="276"/>
      <c r="T1114" s="16"/>
      <c r="U1114" s="16"/>
      <c r="V1114" s="16"/>
      <c r="W1114" s="16"/>
      <c r="X1114" s="16"/>
      <c r="Y1114" s="16"/>
      <c r="Z1114" s="16"/>
    </row>
    <row r="1115" spans="1:26" ht="15.75" customHeight="1" x14ac:dyDescent="0.35">
      <c r="A1115" s="16"/>
      <c r="B1115" s="108"/>
      <c r="C1115" s="170"/>
      <c r="D1115" s="141"/>
      <c r="E1115" s="109"/>
      <c r="F1115" s="109"/>
      <c r="G1115" s="108"/>
      <c r="H1115" s="108"/>
      <c r="I1115" s="190"/>
      <c r="J1115" s="108"/>
      <c r="K1115" s="106"/>
      <c r="L1115" s="107"/>
      <c r="M1115" s="107"/>
      <c r="N1115" s="106"/>
      <c r="O1115" s="106"/>
      <c r="Q1115" s="271"/>
      <c r="R1115" s="16"/>
      <c r="S1115" s="276"/>
      <c r="T1115" s="16"/>
      <c r="U1115" s="16"/>
      <c r="V1115" s="16"/>
      <c r="W1115" s="16"/>
      <c r="X1115" s="16"/>
      <c r="Y1115" s="16"/>
      <c r="Z1115" s="16"/>
    </row>
    <row r="1116" spans="1:26" ht="15.75" customHeight="1" x14ac:dyDescent="0.35">
      <c r="A1116" s="16"/>
      <c r="B1116" s="108"/>
      <c r="C1116" s="170"/>
      <c r="D1116" s="141"/>
      <c r="E1116" s="109"/>
      <c r="F1116" s="109"/>
      <c r="G1116" s="108"/>
      <c r="H1116" s="108"/>
      <c r="I1116" s="190"/>
      <c r="J1116" s="108"/>
      <c r="K1116" s="106"/>
      <c r="L1116" s="107"/>
      <c r="M1116" s="107"/>
      <c r="N1116" s="106"/>
      <c r="O1116" s="106"/>
      <c r="Q1116" s="271"/>
      <c r="R1116" s="16"/>
      <c r="S1116" s="276"/>
      <c r="T1116" s="16"/>
      <c r="U1116" s="16"/>
      <c r="V1116" s="16"/>
      <c r="W1116" s="16"/>
      <c r="X1116" s="16"/>
      <c r="Y1116" s="16"/>
      <c r="Z1116" s="16"/>
    </row>
    <row r="1117" spans="1:26" ht="15.75" customHeight="1" x14ac:dyDescent="0.35">
      <c r="A1117" s="16"/>
      <c r="B1117" s="108"/>
      <c r="C1117" s="170"/>
      <c r="D1117" s="141"/>
      <c r="E1117" s="109"/>
      <c r="F1117" s="109"/>
      <c r="G1117" s="108"/>
      <c r="H1117" s="108"/>
      <c r="I1117" s="190"/>
      <c r="J1117" s="108"/>
      <c r="K1117" s="106"/>
      <c r="L1117" s="107"/>
      <c r="M1117" s="107"/>
      <c r="N1117" s="106"/>
      <c r="O1117" s="106"/>
      <c r="Q1117" s="271"/>
      <c r="R1117" s="16"/>
      <c r="S1117" s="276"/>
      <c r="T1117" s="16"/>
      <c r="U1117" s="16"/>
      <c r="V1117" s="16"/>
      <c r="W1117" s="16"/>
      <c r="X1117" s="16"/>
      <c r="Y1117" s="16"/>
      <c r="Z1117" s="16"/>
    </row>
    <row r="1118" spans="1:26" ht="15.75" customHeight="1" x14ac:dyDescent="0.35">
      <c r="A1118" s="16"/>
      <c r="B1118" s="108"/>
      <c r="C1118" s="170"/>
      <c r="D1118" s="141"/>
      <c r="E1118" s="109"/>
      <c r="F1118" s="109"/>
      <c r="G1118" s="108"/>
      <c r="H1118" s="108"/>
      <c r="I1118" s="190"/>
      <c r="J1118" s="108"/>
      <c r="K1118" s="106"/>
      <c r="L1118" s="107"/>
      <c r="M1118" s="107"/>
      <c r="N1118" s="106"/>
      <c r="O1118" s="106"/>
      <c r="Q1118" s="271"/>
      <c r="R1118" s="16"/>
      <c r="S1118" s="276"/>
      <c r="T1118" s="16"/>
      <c r="U1118" s="16"/>
      <c r="V1118" s="16"/>
      <c r="W1118" s="16"/>
      <c r="X1118" s="16"/>
      <c r="Y1118" s="16"/>
      <c r="Z1118" s="16"/>
    </row>
    <row r="1119" spans="1:26" ht="15.75" customHeight="1" x14ac:dyDescent="0.35">
      <c r="A1119" s="16"/>
      <c r="B1119" s="108"/>
      <c r="C1119" s="170"/>
      <c r="D1119" s="141"/>
      <c r="E1119" s="109"/>
      <c r="F1119" s="109"/>
      <c r="G1119" s="108"/>
      <c r="H1119" s="108"/>
      <c r="I1119" s="190"/>
      <c r="J1119" s="108"/>
      <c r="K1119" s="106"/>
      <c r="L1119" s="107"/>
      <c r="M1119" s="107"/>
      <c r="N1119" s="106"/>
      <c r="O1119" s="106"/>
      <c r="Q1119" s="271"/>
      <c r="R1119" s="16"/>
      <c r="S1119" s="276"/>
      <c r="T1119" s="16"/>
      <c r="U1119" s="16"/>
      <c r="V1119" s="16"/>
      <c r="W1119" s="16"/>
      <c r="X1119" s="16"/>
      <c r="Y1119" s="16"/>
      <c r="Z1119" s="16"/>
    </row>
    <row r="1120" spans="1:26" ht="15.75" customHeight="1" x14ac:dyDescent="0.35">
      <c r="A1120" s="16"/>
      <c r="B1120" s="108"/>
      <c r="C1120" s="170"/>
      <c r="D1120" s="141"/>
      <c r="E1120" s="109"/>
      <c r="F1120" s="109"/>
      <c r="G1120" s="108"/>
      <c r="H1120" s="108"/>
      <c r="I1120" s="190"/>
      <c r="J1120" s="108"/>
      <c r="K1120" s="106"/>
      <c r="L1120" s="107"/>
      <c r="M1120" s="107"/>
      <c r="N1120" s="106"/>
      <c r="O1120" s="106"/>
      <c r="Q1120" s="271"/>
      <c r="R1120" s="16"/>
      <c r="S1120" s="276"/>
      <c r="T1120" s="16"/>
      <c r="U1120" s="16"/>
      <c r="V1120" s="16"/>
      <c r="W1120" s="16"/>
      <c r="X1120" s="16"/>
      <c r="Y1120" s="16"/>
      <c r="Z1120" s="16"/>
    </row>
    <row r="1121" spans="1:26" ht="15.75" customHeight="1" x14ac:dyDescent="0.35">
      <c r="A1121" s="16"/>
      <c r="B1121" s="108"/>
      <c r="C1121" s="170"/>
      <c r="D1121" s="141"/>
      <c r="E1121" s="109"/>
      <c r="F1121" s="109"/>
      <c r="G1121" s="108"/>
      <c r="H1121" s="108"/>
      <c r="I1121" s="190"/>
      <c r="J1121" s="108"/>
      <c r="K1121" s="106"/>
      <c r="L1121" s="107"/>
      <c r="M1121" s="107"/>
      <c r="N1121" s="106"/>
      <c r="O1121" s="106"/>
      <c r="Q1121" s="271"/>
      <c r="R1121" s="16"/>
      <c r="S1121" s="276"/>
      <c r="T1121" s="16"/>
      <c r="U1121" s="16"/>
      <c r="V1121" s="16"/>
      <c r="W1121" s="16"/>
      <c r="X1121" s="16"/>
      <c r="Y1121" s="16"/>
      <c r="Z1121" s="16"/>
    </row>
    <row r="1122" spans="1:26" ht="15.75" customHeight="1" x14ac:dyDescent="0.35">
      <c r="A1122" s="16"/>
      <c r="B1122" s="108"/>
      <c r="C1122" s="170"/>
      <c r="D1122" s="141"/>
      <c r="E1122" s="109"/>
      <c r="F1122" s="109"/>
      <c r="G1122" s="108"/>
      <c r="H1122" s="108"/>
      <c r="I1122" s="190"/>
      <c r="J1122" s="108"/>
      <c r="K1122" s="106"/>
      <c r="L1122" s="107"/>
      <c r="M1122" s="107"/>
      <c r="N1122" s="106"/>
      <c r="O1122" s="106"/>
      <c r="Q1122" s="271"/>
      <c r="R1122" s="16"/>
      <c r="S1122" s="276"/>
      <c r="T1122" s="16"/>
      <c r="U1122" s="16"/>
      <c r="V1122" s="16"/>
      <c r="W1122" s="16"/>
      <c r="X1122" s="16"/>
      <c r="Y1122" s="16"/>
      <c r="Z1122" s="16"/>
    </row>
    <row r="1123" spans="1:26" ht="15.75" customHeight="1" x14ac:dyDescent="0.35">
      <c r="A1123" s="16"/>
      <c r="B1123" s="108"/>
      <c r="C1123" s="170"/>
      <c r="D1123" s="141"/>
      <c r="E1123" s="109"/>
      <c r="F1123" s="109"/>
      <c r="G1123" s="108"/>
      <c r="H1123" s="108"/>
      <c r="I1123" s="190"/>
      <c r="J1123" s="108"/>
      <c r="K1123" s="106"/>
      <c r="L1123" s="107"/>
      <c r="M1123" s="107"/>
      <c r="N1123" s="106"/>
      <c r="O1123" s="106"/>
      <c r="Q1123" s="271"/>
      <c r="R1123" s="16"/>
      <c r="S1123" s="276"/>
      <c r="T1123" s="16"/>
      <c r="U1123" s="16"/>
      <c r="V1123" s="16"/>
      <c r="W1123" s="16"/>
      <c r="X1123" s="16"/>
      <c r="Y1123" s="16"/>
      <c r="Z1123" s="16"/>
    </row>
    <row r="1124" spans="1:26" ht="15.75" customHeight="1" x14ac:dyDescent="0.35">
      <c r="A1124" s="16"/>
      <c r="B1124" s="108"/>
      <c r="C1124" s="170"/>
      <c r="D1124" s="141"/>
      <c r="E1124" s="109"/>
      <c r="F1124" s="109"/>
      <c r="G1124" s="108"/>
      <c r="H1124" s="108"/>
      <c r="I1124" s="190"/>
      <c r="J1124" s="108"/>
      <c r="K1124" s="106"/>
      <c r="L1124" s="107"/>
      <c r="M1124" s="107"/>
      <c r="N1124" s="106"/>
      <c r="O1124" s="106"/>
      <c r="Q1124" s="271"/>
      <c r="R1124" s="16"/>
      <c r="S1124" s="276"/>
      <c r="T1124" s="16"/>
      <c r="U1124" s="16"/>
      <c r="V1124" s="16"/>
      <c r="W1124" s="16"/>
      <c r="X1124" s="16"/>
      <c r="Y1124" s="16"/>
      <c r="Z1124" s="16"/>
    </row>
    <row r="1125" spans="1:26" ht="15.75" customHeight="1" x14ac:dyDescent="0.35">
      <c r="A1125" s="16"/>
      <c r="B1125" s="108"/>
      <c r="C1125" s="170"/>
      <c r="D1125" s="141"/>
      <c r="E1125" s="109"/>
      <c r="F1125" s="109"/>
      <c r="G1125" s="108"/>
      <c r="H1125" s="108"/>
      <c r="I1125" s="190"/>
      <c r="J1125" s="108"/>
      <c r="K1125" s="106"/>
      <c r="L1125" s="107"/>
      <c r="M1125" s="107"/>
      <c r="N1125" s="106"/>
      <c r="O1125" s="106"/>
      <c r="Q1125" s="271"/>
      <c r="R1125" s="16"/>
      <c r="S1125" s="276"/>
      <c r="T1125" s="16"/>
      <c r="U1125" s="16"/>
      <c r="V1125" s="16"/>
      <c r="W1125" s="16"/>
      <c r="X1125" s="16"/>
      <c r="Y1125" s="16"/>
      <c r="Z1125" s="16"/>
    </row>
    <row r="1126" spans="1:26" ht="15.75" customHeight="1" x14ac:dyDescent="0.35">
      <c r="A1126" s="16"/>
      <c r="B1126" s="108"/>
      <c r="C1126" s="170"/>
      <c r="D1126" s="141"/>
      <c r="E1126" s="109"/>
      <c r="F1126" s="109"/>
      <c r="G1126" s="108"/>
      <c r="H1126" s="108"/>
      <c r="I1126" s="190"/>
      <c r="J1126" s="108"/>
      <c r="K1126" s="106"/>
      <c r="L1126" s="107"/>
      <c r="M1126" s="107"/>
      <c r="N1126" s="106"/>
      <c r="O1126" s="106"/>
      <c r="Q1126" s="271"/>
      <c r="R1126" s="16"/>
      <c r="S1126" s="276"/>
      <c r="T1126" s="16"/>
      <c r="U1126" s="16"/>
      <c r="V1126" s="16"/>
      <c r="W1126" s="16"/>
      <c r="X1126" s="16"/>
      <c r="Y1126" s="16"/>
      <c r="Z1126" s="16"/>
    </row>
    <row r="1127" spans="1:26" ht="15.75" customHeight="1" x14ac:dyDescent="0.35">
      <c r="A1127" s="16"/>
      <c r="B1127" s="108"/>
      <c r="C1127" s="170"/>
      <c r="D1127" s="141"/>
      <c r="E1127" s="109"/>
      <c r="F1127" s="109"/>
      <c r="G1127" s="108"/>
      <c r="H1127" s="108"/>
      <c r="I1127" s="190"/>
      <c r="J1127" s="108"/>
      <c r="K1127" s="106"/>
      <c r="L1127" s="107"/>
      <c r="M1127" s="107"/>
      <c r="N1127" s="106"/>
      <c r="O1127" s="106"/>
      <c r="Q1127" s="271"/>
      <c r="R1127" s="16"/>
      <c r="S1127" s="276"/>
      <c r="T1127" s="16"/>
      <c r="U1127" s="16"/>
      <c r="V1127" s="16"/>
      <c r="W1127" s="16"/>
      <c r="X1127" s="16"/>
      <c r="Y1127" s="16"/>
      <c r="Z1127" s="16"/>
    </row>
    <row r="1128" spans="1:26" ht="15.75" customHeight="1" x14ac:dyDescent="0.35">
      <c r="A1128" s="16"/>
      <c r="B1128" s="108"/>
      <c r="C1128" s="170"/>
      <c r="D1128" s="141"/>
      <c r="E1128" s="109"/>
      <c r="F1128" s="109"/>
      <c r="G1128" s="108"/>
      <c r="H1128" s="108"/>
      <c r="I1128" s="190"/>
      <c r="J1128" s="108"/>
      <c r="K1128" s="106"/>
      <c r="L1128" s="107"/>
      <c r="M1128" s="107"/>
      <c r="N1128" s="106"/>
      <c r="O1128" s="106"/>
      <c r="Q1128" s="271"/>
      <c r="R1128" s="16"/>
      <c r="S1128" s="276"/>
      <c r="T1128" s="16"/>
      <c r="U1128" s="16"/>
      <c r="V1128" s="16"/>
      <c r="W1128" s="16"/>
      <c r="X1128" s="16"/>
      <c r="Y1128" s="16"/>
      <c r="Z1128" s="16"/>
    </row>
    <row r="1129" spans="1:26" ht="15.75" customHeight="1" x14ac:dyDescent="0.35">
      <c r="A1129" s="16"/>
      <c r="B1129" s="108"/>
      <c r="C1129" s="170"/>
      <c r="D1129" s="141"/>
      <c r="E1129" s="109"/>
      <c r="F1129" s="109"/>
      <c r="G1129" s="108"/>
      <c r="H1129" s="108"/>
      <c r="I1129" s="190"/>
      <c r="J1129" s="108"/>
      <c r="K1129" s="106"/>
      <c r="L1129" s="107"/>
      <c r="M1129" s="107"/>
      <c r="N1129" s="106"/>
      <c r="O1129" s="106"/>
      <c r="Q1129" s="271"/>
      <c r="R1129" s="16"/>
      <c r="S1129" s="276"/>
      <c r="T1129" s="16"/>
      <c r="U1129" s="16"/>
      <c r="V1129" s="16"/>
      <c r="W1129" s="16"/>
      <c r="X1129" s="16"/>
      <c r="Y1129" s="16"/>
      <c r="Z1129" s="16"/>
    </row>
    <row r="1130" spans="1:26" ht="15.75" customHeight="1" x14ac:dyDescent="0.35">
      <c r="A1130" s="16"/>
      <c r="B1130" s="108"/>
      <c r="C1130" s="170"/>
      <c r="D1130" s="141"/>
      <c r="E1130" s="109"/>
      <c r="F1130" s="109"/>
      <c r="G1130" s="108"/>
      <c r="H1130" s="108"/>
      <c r="I1130" s="190"/>
      <c r="J1130" s="108"/>
      <c r="K1130" s="106"/>
      <c r="L1130" s="107"/>
      <c r="M1130" s="107"/>
      <c r="N1130" s="106"/>
      <c r="O1130" s="106"/>
      <c r="Q1130" s="271"/>
      <c r="R1130" s="16"/>
      <c r="S1130" s="276"/>
      <c r="T1130" s="16"/>
      <c r="U1130" s="16"/>
      <c r="V1130" s="16"/>
      <c r="W1130" s="16"/>
      <c r="X1130" s="16"/>
      <c r="Y1130" s="16"/>
      <c r="Z1130" s="16"/>
    </row>
    <row r="1131" spans="1:26" ht="15.75" customHeight="1" x14ac:dyDescent="0.35">
      <c r="A1131" s="16"/>
      <c r="B1131" s="108"/>
      <c r="C1131" s="170"/>
      <c r="D1131" s="141"/>
      <c r="E1131" s="109"/>
      <c r="F1131" s="109"/>
      <c r="G1131" s="108"/>
      <c r="H1131" s="108"/>
      <c r="I1131" s="190"/>
      <c r="J1131" s="108"/>
      <c r="K1131" s="106"/>
      <c r="L1131" s="107"/>
      <c r="M1131" s="107"/>
      <c r="N1131" s="106"/>
      <c r="O1131" s="106"/>
      <c r="Q1131" s="271"/>
      <c r="R1131" s="16"/>
      <c r="S1131" s="276"/>
      <c r="T1131" s="16"/>
      <c r="U1131" s="16"/>
      <c r="V1131" s="16"/>
      <c r="W1131" s="16"/>
      <c r="X1131" s="16"/>
      <c r="Y1131" s="16"/>
      <c r="Z1131" s="16"/>
    </row>
    <row r="1132" spans="1:26" ht="15.75" customHeight="1" x14ac:dyDescent="0.35">
      <c r="A1132" s="16"/>
      <c r="B1132" s="108"/>
      <c r="C1132" s="170"/>
      <c r="D1132" s="141"/>
      <c r="E1132" s="109"/>
      <c r="F1132" s="109"/>
      <c r="G1132" s="108"/>
      <c r="H1132" s="108"/>
      <c r="I1132" s="190"/>
      <c r="J1132" s="108"/>
      <c r="K1132" s="106"/>
      <c r="L1132" s="107"/>
      <c r="M1132" s="107"/>
      <c r="N1132" s="106"/>
      <c r="O1132" s="106"/>
      <c r="Q1132" s="271"/>
      <c r="R1132" s="16"/>
      <c r="S1132" s="276"/>
      <c r="T1132" s="16"/>
      <c r="U1132" s="16"/>
      <c r="V1132" s="16"/>
      <c r="W1132" s="16"/>
      <c r="X1132" s="16"/>
      <c r="Y1132" s="16"/>
      <c r="Z1132" s="16"/>
    </row>
    <row r="1133" spans="1:26" ht="15.75" customHeight="1" x14ac:dyDescent="0.35">
      <c r="A1133" s="16"/>
      <c r="B1133" s="108"/>
      <c r="C1133" s="170"/>
      <c r="D1133" s="141"/>
      <c r="E1133" s="109"/>
      <c r="F1133" s="109"/>
      <c r="G1133" s="108"/>
      <c r="H1133" s="108"/>
      <c r="I1133" s="190"/>
      <c r="J1133" s="108"/>
      <c r="K1133" s="106"/>
      <c r="L1133" s="107"/>
      <c r="M1133" s="107"/>
      <c r="N1133" s="106"/>
      <c r="O1133" s="106"/>
      <c r="Q1133" s="271"/>
      <c r="R1133" s="16"/>
      <c r="S1133" s="276"/>
      <c r="T1133" s="16"/>
      <c r="U1133" s="16"/>
      <c r="V1133" s="16"/>
      <c r="W1133" s="16"/>
      <c r="X1133" s="16"/>
      <c r="Y1133" s="16"/>
      <c r="Z1133" s="16"/>
    </row>
    <row r="1134" spans="1:26" ht="15.75" customHeight="1" x14ac:dyDescent="0.35">
      <c r="A1134" s="16"/>
      <c r="B1134" s="108"/>
      <c r="C1134" s="170"/>
      <c r="D1134" s="141"/>
      <c r="E1134" s="109"/>
      <c r="F1134" s="109"/>
      <c r="G1134" s="108"/>
      <c r="H1134" s="108"/>
      <c r="I1134" s="190"/>
      <c r="J1134" s="108"/>
      <c r="K1134" s="106"/>
      <c r="L1134" s="107"/>
      <c r="M1134" s="107"/>
      <c r="N1134" s="106"/>
      <c r="O1134" s="106"/>
      <c r="Q1134" s="271"/>
      <c r="R1134" s="16"/>
      <c r="S1134" s="276"/>
      <c r="T1134" s="16"/>
      <c r="U1134" s="16"/>
      <c r="V1134" s="16"/>
      <c r="W1134" s="16"/>
      <c r="X1134" s="16"/>
      <c r="Y1134" s="16"/>
      <c r="Z1134" s="16"/>
    </row>
    <row r="1135" spans="1:26" ht="15.75" customHeight="1" x14ac:dyDescent="0.35">
      <c r="A1135" s="16"/>
      <c r="B1135" s="108"/>
      <c r="C1135" s="170"/>
      <c r="D1135" s="141"/>
      <c r="E1135" s="109"/>
      <c r="F1135" s="109"/>
      <c r="G1135" s="108"/>
      <c r="H1135" s="108"/>
      <c r="I1135" s="190"/>
      <c r="J1135" s="108"/>
      <c r="K1135" s="106"/>
      <c r="L1135" s="107"/>
      <c r="M1135" s="107"/>
      <c r="N1135" s="106"/>
      <c r="O1135" s="106"/>
      <c r="Q1135" s="271"/>
      <c r="R1135" s="16"/>
      <c r="S1135" s="276"/>
      <c r="T1135" s="16"/>
      <c r="U1135" s="16"/>
      <c r="V1135" s="16"/>
      <c r="W1135" s="16"/>
      <c r="X1135" s="16"/>
      <c r="Y1135" s="16"/>
      <c r="Z1135" s="16"/>
    </row>
    <row r="1136" spans="1:26" ht="15.75" customHeight="1" x14ac:dyDescent="0.35">
      <c r="A1136" s="16"/>
      <c r="B1136" s="108"/>
      <c r="C1136" s="170"/>
      <c r="D1136" s="141"/>
      <c r="E1136" s="109"/>
      <c r="F1136" s="109"/>
      <c r="G1136" s="108"/>
      <c r="H1136" s="108"/>
      <c r="I1136" s="190"/>
      <c r="J1136" s="108"/>
      <c r="K1136" s="106"/>
      <c r="L1136" s="107"/>
      <c r="M1136" s="107"/>
      <c r="N1136" s="106"/>
      <c r="O1136" s="106"/>
      <c r="Q1136" s="271"/>
      <c r="R1136" s="16"/>
      <c r="S1136" s="276"/>
      <c r="T1136" s="16"/>
      <c r="U1136" s="16"/>
      <c r="V1136" s="16"/>
      <c r="W1136" s="16"/>
      <c r="X1136" s="16"/>
      <c r="Y1136" s="16"/>
      <c r="Z1136" s="16"/>
    </row>
    <row r="1137" spans="1:26" ht="15.75" customHeight="1" x14ac:dyDescent="0.35">
      <c r="A1137" s="16"/>
      <c r="B1137" s="108"/>
      <c r="C1137" s="170"/>
      <c r="D1137" s="141"/>
      <c r="E1137" s="109"/>
      <c r="F1137" s="109"/>
      <c r="G1137" s="108"/>
      <c r="H1137" s="108"/>
      <c r="I1137" s="190"/>
      <c r="J1137" s="108"/>
      <c r="K1137" s="106"/>
      <c r="L1137" s="107"/>
      <c r="M1137" s="107"/>
      <c r="N1137" s="106"/>
      <c r="O1137" s="106"/>
      <c r="Q1137" s="271"/>
      <c r="R1137" s="16"/>
      <c r="S1137" s="276"/>
      <c r="T1137" s="16"/>
      <c r="U1137" s="16"/>
      <c r="V1137" s="16"/>
      <c r="W1137" s="16"/>
      <c r="X1137" s="16"/>
      <c r="Y1137" s="16"/>
      <c r="Z1137" s="16"/>
    </row>
    <row r="1138" spans="1:26" ht="15.75" customHeight="1" x14ac:dyDescent="0.35">
      <c r="A1138" s="16"/>
      <c r="B1138" s="108"/>
      <c r="C1138" s="170"/>
      <c r="D1138" s="141"/>
      <c r="E1138" s="109"/>
      <c r="F1138" s="109"/>
      <c r="G1138" s="108"/>
      <c r="H1138" s="108"/>
      <c r="I1138" s="190"/>
      <c r="J1138" s="108"/>
      <c r="K1138" s="106"/>
      <c r="L1138" s="107"/>
      <c r="M1138" s="107"/>
      <c r="N1138" s="106"/>
      <c r="O1138" s="106"/>
      <c r="Q1138" s="271"/>
      <c r="R1138" s="16"/>
      <c r="S1138" s="276"/>
      <c r="T1138" s="16"/>
      <c r="U1138" s="16"/>
      <c r="V1138" s="16"/>
      <c r="W1138" s="16"/>
      <c r="X1138" s="16"/>
      <c r="Y1138" s="16"/>
      <c r="Z1138" s="16"/>
    </row>
    <row r="1139" spans="1:26" ht="15.75" customHeight="1" x14ac:dyDescent="0.35">
      <c r="A1139" s="16"/>
      <c r="B1139" s="108"/>
      <c r="C1139" s="170"/>
      <c r="D1139" s="141"/>
      <c r="E1139" s="109"/>
      <c r="F1139" s="109"/>
      <c r="G1139" s="108"/>
      <c r="H1139" s="108"/>
      <c r="I1139" s="190"/>
      <c r="J1139" s="108"/>
      <c r="K1139" s="106"/>
      <c r="L1139" s="107"/>
      <c r="M1139" s="107"/>
      <c r="N1139" s="106"/>
      <c r="O1139" s="106"/>
      <c r="Q1139" s="271"/>
      <c r="R1139" s="16"/>
      <c r="S1139" s="276"/>
      <c r="T1139" s="16"/>
      <c r="U1139" s="16"/>
      <c r="V1139" s="16"/>
      <c r="W1139" s="16"/>
      <c r="X1139" s="16"/>
      <c r="Y1139" s="16"/>
      <c r="Z1139" s="16"/>
    </row>
    <row r="1140" spans="1:26" ht="15.75" customHeight="1" x14ac:dyDescent="0.35">
      <c r="A1140" s="16"/>
      <c r="B1140" s="108"/>
      <c r="C1140" s="170"/>
      <c r="D1140" s="141"/>
      <c r="E1140" s="109"/>
      <c r="F1140" s="109"/>
      <c r="G1140" s="108"/>
      <c r="H1140" s="108"/>
      <c r="I1140" s="190"/>
      <c r="J1140" s="108"/>
      <c r="K1140" s="106"/>
      <c r="L1140" s="107"/>
      <c r="M1140" s="107"/>
      <c r="N1140" s="106"/>
      <c r="O1140" s="106"/>
      <c r="Q1140" s="271"/>
      <c r="R1140" s="16"/>
      <c r="S1140" s="276"/>
      <c r="T1140" s="16"/>
      <c r="U1140" s="16"/>
      <c r="V1140" s="16"/>
      <c r="W1140" s="16"/>
      <c r="X1140" s="16"/>
      <c r="Y1140" s="16"/>
      <c r="Z1140" s="16"/>
    </row>
    <row r="1141" spans="1:26" ht="15.75" customHeight="1" x14ac:dyDescent="0.35">
      <c r="A1141" s="16"/>
      <c r="B1141" s="108"/>
      <c r="C1141" s="170"/>
      <c r="D1141" s="141"/>
      <c r="E1141" s="109"/>
      <c r="F1141" s="109"/>
      <c r="G1141" s="108"/>
      <c r="H1141" s="108"/>
      <c r="I1141" s="190"/>
      <c r="J1141" s="108"/>
      <c r="K1141" s="106"/>
      <c r="L1141" s="107"/>
      <c r="M1141" s="107"/>
      <c r="N1141" s="106"/>
      <c r="O1141" s="106"/>
      <c r="Q1141" s="271"/>
      <c r="R1141" s="16"/>
      <c r="S1141" s="276"/>
      <c r="T1141" s="16"/>
      <c r="U1141" s="16"/>
      <c r="V1141" s="16"/>
      <c r="W1141" s="16"/>
      <c r="X1141" s="16"/>
      <c r="Y1141" s="16"/>
      <c r="Z1141" s="16"/>
    </row>
    <row r="1142" spans="1:26" ht="15.75" customHeight="1" x14ac:dyDescent="0.35">
      <c r="A1142" s="16"/>
      <c r="B1142" s="108"/>
      <c r="C1142" s="170"/>
      <c r="D1142" s="141"/>
      <c r="E1142" s="109"/>
      <c r="F1142" s="109"/>
      <c r="G1142" s="108"/>
      <c r="H1142" s="108"/>
      <c r="I1142" s="190"/>
      <c r="J1142" s="108"/>
      <c r="K1142" s="106"/>
      <c r="L1142" s="107"/>
      <c r="M1142" s="107"/>
      <c r="N1142" s="106"/>
      <c r="O1142" s="106"/>
      <c r="Q1142" s="271"/>
      <c r="R1142" s="16"/>
      <c r="S1142" s="276"/>
      <c r="T1142" s="16"/>
      <c r="U1142" s="16"/>
      <c r="V1142" s="16"/>
      <c r="W1142" s="16"/>
      <c r="X1142" s="16"/>
      <c r="Y1142" s="16"/>
      <c r="Z1142" s="16"/>
    </row>
    <row r="1143" spans="1:26" ht="15.75" customHeight="1" x14ac:dyDescent="0.35">
      <c r="A1143" s="16"/>
      <c r="B1143" s="108"/>
      <c r="C1143" s="170"/>
      <c r="D1143" s="141"/>
      <c r="E1143" s="109"/>
      <c r="F1143" s="109"/>
      <c r="G1143" s="108"/>
      <c r="H1143" s="108"/>
      <c r="I1143" s="190"/>
      <c r="J1143" s="108"/>
      <c r="K1143" s="106"/>
      <c r="L1143" s="107"/>
      <c r="M1143" s="107"/>
      <c r="N1143" s="106"/>
      <c r="O1143" s="106"/>
      <c r="Q1143" s="271"/>
      <c r="R1143" s="16"/>
      <c r="S1143" s="276"/>
      <c r="T1143" s="16"/>
      <c r="U1143" s="16"/>
      <c r="V1143" s="16"/>
      <c r="W1143" s="16"/>
      <c r="X1143" s="16"/>
      <c r="Y1143" s="16"/>
      <c r="Z1143" s="16"/>
    </row>
    <row r="1144" spans="1:26" ht="15.75" customHeight="1" x14ac:dyDescent="0.35">
      <c r="A1144" s="16"/>
      <c r="B1144" s="108"/>
      <c r="C1144" s="170"/>
      <c r="D1144" s="141"/>
      <c r="E1144" s="109"/>
      <c r="F1144" s="109"/>
      <c r="G1144" s="108"/>
      <c r="H1144" s="108"/>
      <c r="I1144" s="190"/>
      <c r="J1144" s="108"/>
      <c r="K1144" s="106"/>
      <c r="L1144" s="107"/>
      <c r="M1144" s="107"/>
      <c r="N1144" s="106"/>
      <c r="O1144" s="106"/>
      <c r="Q1144" s="271"/>
      <c r="R1144" s="16"/>
      <c r="S1144" s="276"/>
      <c r="T1144" s="16"/>
      <c r="U1144" s="16"/>
      <c r="V1144" s="16"/>
      <c r="W1144" s="16"/>
      <c r="X1144" s="16"/>
      <c r="Y1144" s="16"/>
      <c r="Z1144" s="16"/>
    </row>
    <row r="1145" spans="1:26" ht="15.75" customHeight="1" x14ac:dyDescent="0.35">
      <c r="A1145" s="16"/>
      <c r="B1145" s="108"/>
      <c r="C1145" s="170"/>
      <c r="D1145" s="141"/>
      <c r="E1145" s="109"/>
      <c r="F1145" s="109"/>
      <c r="G1145" s="108"/>
      <c r="H1145" s="108"/>
      <c r="I1145" s="190"/>
      <c r="J1145" s="108"/>
      <c r="K1145" s="106"/>
      <c r="L1145" s="107"/>
      <c r="M1145" s="107"/>
      <c r="N1145" s="106"/>
      <c r="O1145" s="106"/>
      <c r="Q1145" s="271"/>
      <c r="R1145" s="16"/>
      <c r="S1145" s="276"/>
      <c r="T1145" s="16"/>
      <c r="U1145" s="16"/>
      <c r="V1145" s="16"/>
      <c r="W1145" s="16"/>
      <c r="X1145" s="16"/>
      <c r="Y1145" s="16"/>
      <c r="Z1145" s="16"/>
    </row>
    <row r="1146" spans="1:26" ht="15.75" customHeight="1" x14ac:dyDescent="0.35">
      <c r="A1146" s="16"/>
      <c r="B1146" s="108"/>
      <c r="C1146" s="170"/>
      <c r="D1146" s="141"/>
      <c r="E1146" s="109"/>
      <c r="F1146" s="109"/>
      <c r="G1146" s="108"/>
      <c r="H1146" s="108"/>
      <c r="I1146" s="190"/>
      <c r="J1146" s="108"/>
      <c r="K1146" s="106"/>
      <c r="L1146" s="107"/>
      <c r="M1146" s="107"/>
      <c r="N1146" s="106"/>
      <c r="O1146" s="106"/>
      <c r="Q1146" s="271"/>
      <c r="R1146" s="16"/>
      <c r="S1146" s="276"/>
      <c r="T1146" s="16"/>
      <c r="U1146" s="16"/>
      <c r="V1146" s="16"/>
      <c r="W1146" s="16"/>
      <c r="X1146" s="16"/>
      <c r="Y1146" s="16"/>
      <c r="Z1146" s="16"/>
    </row>
    <row r="1147" spans="1:26" ht="15.75" customHeight="1" x14ac:dyDescent="0.35">
      <c r="A1147" s="16"/>
      <c r="B1147" s="108"/>
      <c r="C1147" s="170"/>
      <c r="D1147" s="141"/>
      <c r="E1147" s="109"/>
      <c r="F1147" s="109"/>
      <c r="G1147" s="108"/>
      <c r="H1147" s="108"/>
      <c r="I1147" s="190"/>
      <c r="J1147" s="108"/>
      <c r="K1147" s="106"/>
      <c r="L1147" s="107"/>
      <c r="M1147" s="107"/>
      <c r="N1147" s="106"/>
      <c r="O1147" s="106"/>
      <c r="Q1147" s="271"/>
      <c r="R1147" s="16"/>
      <c r="S1147" s="276"/>
      <c r="T1147" s="16"/>
      <c r="U1147" s="16"/>
      <c r="V1147" s="16"/>
      <c r="W1147" s="16"/>
      <c r="X1147" s="16"/>
      <c r="Y1147" s="16"/>
      <c r="Z1147" s="16"/>
    </row>
    <row r="1148" spans="1:26" ht="15.75" customHeight="1" x14ac:dyDescent="0.35">
      <c r="A1148" s="16"/>
      <c r="B1148" s="108"/>
      <c r="C1148" s="170"/>
      <c r="D1148" s="141"/>
      <c r="E1148" s="109"/>
      <c r="F1148" s="109"/>
      <c r="G1148" s="108"/>
      <c r="H1148" s="108"/>
      <c r="I1148" s="190"/>
      <c r="J1148" s="108"/>
      <c r="K1148" s="106"/>
      <c r="L1148" s="107"/>
      <c r="M1148" s="107"/>
      <c r="N1148" s="106"/>
      <c r="O1148" s="106"/>
      <c r="Q1148" s="271"/>
      <c r="R1148" s="16"/>
      <c r="S1148" s="276"/>
      <c r="T1148" s="16"/>
      <c r="U1148" s="16"/>
      <c r="V1148" s="16"/>
      <c r="W1148" s="16"/>
      <c r="X1148" s="16"/>
      <c r="Y1148" s="16"/>
      <c r="Z1148" s="16"/>
    </row>
    <row r="1149" spans="1:26" ht="15.75" customHeight="1" x14ac:dyDescent="0.35">
      <c r="A1149" s="16"/>
      <c r="B1149" s="108"/>
      <c r="C1149" s="170"/>
      <c r="D1149" s="141"/>
      <c r="E1149" s="109"/>
      <c r="F1149" s="109"/>
      <c r="G1149" s="108"/>
      <c r="H1149" s="108"/>
      <c r="I1149" s="190"/>
      <c r="J1149" s="108"/>
      <c r="K1149" s="106"/>
      <c r="L1149" s="107"/>
      <c r="M1149" s="107"/>
      <c r="N1149" s="106"/>
      <c r="O1149" s="106"/>
      <c r="Q1149" s="271"/>
      <c r="R1149" s="16"/>
      <c r="S1149" s="276"/>
      <c r="T1149" s="16"/>
      <c r="U1149" s="16"/>
      <c r="V1149" s="16"/>
      <c r="W1149" s="16"/>
      <c r="X1149" s="16"/>
      <c r="Y1149" s="16"/>
      <c r="Z1149" s="16"/>
    </row>
    <row r="1150" spans="1:26" ht="15.75" customHeight="1" x14ac:dyDescent="0.35">
      <c r="A1150" s="16"/>
      <c r="B1150" s="108"/>
      <c r="C1150" s="170"/>
      <c r="D1150" s="141"/>
      <c r="E1150" s="109"/>
      <c r="F1150" s="109"/>
      <c r="G1150" s="108"/>
      <c r="H1150" s="108"/>
      <c r="I1150" s="190"/>
      <c r="J1150" s="108"/>
      <c r="K1150" s="106"/>
      <c r="L1150" s="107"/>
      <c r="M1150" s="107"/>
      <c r="N1150" s="106"/>
      <c r="O1150" s="106"/>
      <c r="Q1150" s="271"/>
      <c r="R1150" s="16"/>
      <c r="S1150" s="276"/>
      <c r="T1150" s="16"/>
      <c r="U1150" s="16"/>
      <c r="V1150" s="16"/>
      <c r="W1150" s="16"/>
      <c r="X1150" s="16"/>
      <c r="Y1150" s="16"/>
      <c r="Z1150" s="16"/>
    </row>
    <row r="1151" spans="1:26" ht="15.75" customHeight="1" x14ac:dyDescent="0.35">
      <c r="A1151" s="16"/>
      <c r="B1151" s="108"/>
      <c r="C1151" s="170"/>
      <c r="D1151" s="141"/>
      <c r="E1151" s="109"/>
      <c r="F1151" s="109"/>
      <c r="G1151" s="108"/>
      <c r="H1151" s="108"/>
      <c r="I1151" s="190"/>
      <c r="J1151" s="108"/>
      <c r="K1151" s="106"/>
      <c r="L1151" s="107"/>
      <c r="M1151" s="107"/>
      <c r="N1151" s="106"/>
      <c r="O1151" s="106"/>
      <c r="Q1151" s="271"/>
      <c r="R1151" s="16"/>
      <c r="S1151" s="276"/>
      <c r="T1151" s="16"/>
      <c r="U1151" s="16"/>
      <c r="V1151" s="16"/>
      <c r="W1151" s="16"/>
      <c r="X1151" s="16"/>
      <c r="Y1151" s="16"/>
      <c r="Z1151" s="16"/>
    </row>
    <row r="1152" spans="1:26" ht="15.75" customHeight="1" x14ac:dyDescent="0.35">
      <c r="A1152" s="16"/>
      <c r="B1152" s="108"/>
      <c r="C1152" s="170"/>
      <c r="D1152" s="141"/>
      <c r="E1152" s="109"/>
      <c r="F1152" s="109"/>
      <c r="G1152" s="108"/>
      <c r="H1152" s="108"/>
      <c r="I1152" s="190"/>
      <c r="J1152" s="108"/>
      <c r="K1152" s="106"/>
      <c r="L1152" s="107"/>
      <c r="M1152" s="107"/>
      <c r="N1152" s="106"/>
      <c r="O1152" s="106"/>
      <c r="Q1152" s="271"/>
      <c r="R1152" s="16"/>
      <c r="S1152" s="276"/>
      <c r="T1152" s="16"/>
      <c r="U1152" s="16"/>
      <c r="V1152" s="16"/>
      <c r="W1152" s="16"/>
      <c r="X1152" s="16"/>
      <c r="Y1152" s="16"/>
      <c r="Z1152" s="16"/>
    </row>
    <row r="1153" spans="1:26" ht="15.75" customHeight="1" x14ac:dyDescent="0.35">
      <c r="A1153" s="16"/>
      <c r="B1153" s="108"/>
      <c r="C1153" s="170"/>
      <c r="D1153" s="141"/>
      <c r="E1153" s="109"/>
      <c r="F1153" s="109"/>
      <c r="G1153" s="108"/>
      <c r="H1153" s="108"/>
      <c r="I1153" s="190"/>
      <c r="J1153" s="108"/>
      <c r="K1153" s="106"/>
      <c r="L1153" s="107"/>
      <c r="M1153" s="107"/>
      <c r="N1153" s="106"/>
      <c r="O1153" s="106"/>
      <c r="Q1153" s="271"/>
      <c r="R1153" s="16"/>
      <c r="S1153" s="276"/>
      <c r="T1153" s="16"/>
      <c r="U1153" s="16"/>
      <c r="V1153" s="16"/>
      <c r="W1153" s="16"/>
      <c r="X1153" s="16"/>
      <c r="Y1153" s="16"/>
      <c r="Z1153" s="16"/>
    </row>
    <row r="1154" spans="1:26" ht="15.75" customHeight="1" x14ac:dyDescent="0.35">
      <c r="A1154" s="16"/>
      <c r="B1154" s="108"/>
      <c r="C1154" s="170"/>
      <c r="D1154" s="141"/>
      <c r="E1154" s="109"/>
      <c r="F1154" s="109"/>
      <c r="G1154" s="108"/>
      <c r="H1154" s="108"/>
      <c r="I1154" s="190"/>
      <c r="J1154" s="108"/>
      <c r="K1154" s="106"/>
      <c r="L1154" s="107"/>
      <c r="M1154" s="107"/>
      <c r="N1154" s="106"/>
      <c r="O1154" s="106"/>
      <c r="Q1154" s="271"/>
      <c r="R1154" s="16"/>
      <c r="S1154" s="276"/>
      <c r="T1154" s="16"/>
      <c r="U1154" s="16"/>
      <c r="V1154" s="16"/>
      <c r="W1154" s="16"/>
      <c r="X1154" s="16"/>
      <c r="Y1154" s="16"/>
      <c r="Z1154" s="16"/>
    </row>
    <row r="1155" spans="1:26" ht="15.75" customHeight="1" x14ac:dyDescent="0.35">
      <c r="A1155" s="16"/>
      <c r="B1155" s="108"/>
      <c r="C1155" s="170"/>
      <c r="D1155" s="141"/>
      <c r="E1155" s="109"/>
      <c r="F1155" s="109"/>
      <c r="G1155" s="108"/>
      <c r="H1155" s="108"/>
      <c r="I1155" s="190"/>
      <c r="J1155" s="108"/>
      <c r="K1155" s="106"/>
      <c r="L1155" s="107"/>
      <c r="M1155" s="107"/>
      <c r="N1155" s="106"/>
      <c r="O1155" s="106"/>
      <c r="Q1155" s="271"/>
      <c r="R1155" s="16"/>
      <c r="S1155" s="276"/>
      <c r="T1155" s="16"/>
      <c r="U1155" s="16"/>
      <c r="V1155" s="16"/>
      <c r="W1155" s="16"/>
      <c r="X1155" s="16"/>
      <c r="Y1155" s="16"/>
      <c r="Z1155" s="16"/>
    </row>
    <row r="1156" spans="1:26" ht="15.75" customHeight="1" x14ac:dyDescent="0.35">
      <c r="A1156" s="16"/>
      <c r="B1156" s="108"/>
      <c r="C1156" s="170"/>
      <c r="D1156" s="141"/>
      <c r="E1156" s="109"/>
      <c r="F1156" s="109"/>
      <c r="G1156" s="108"/>
      <c r="H1156" s="108"/>
      <c r="I1156" s="190"/>
      <c r="J1156" s="108"/>
      <c r="K1156" s="106"/>
      <c r="L1156" s="107"/>
      <c r="M1156" s="107"/>
      <c r="N1156" s="106"/>
      <c r="O1156" s="106"/>
      <c r="Q1156" s="271"/>
      <c r="R1156" s="16"/>
      <c r="S1156" s="276"/>
      <c r="T1156" s="16"/>
      <c r="U1156" s="16"/>
      <c r="V1156" s="16"/>
      <c r="W1156" s="16"/>
      <c r="X1156" s="16"/>
      <c r="Y1156" s="16"/>
      <c r="Z1156" s="16"/>
    </row>
    <row r="1157" spans="1:26" ht="15.75" customHeight="1" x14ac:dyDescent="0.35">
      <c r="A1157" s="16"/>
      <c r="B1157" s="108"/>
      <c r="C1157" s="170"/>
      <c r="D1157" s="141"/>
      <c r="E1157" s="109"/>
      <c r="F1157" s="109"/>
      <c r="G1157" s="108"/>
      <c r="H1157" s="108"/>
      <c r="I1157" s="190"/>
      <c r="J1157" s="108"/>
      <c r="K1157" s="106"/>
      <c r="L1157" s="107"/>
      <c r="M1157" s="107"/>
      <c r="N1157" s="106"/>
      <c r="O1157" s="106"/>
      <c r="Q1157" s="271"/>
      <c r="R1157" s="16"/>
      <c r="S1157" s="276"/>
      <c r="T1157" s="16"/>
      <c r="U1157" s="16"/>
      <c r="V1157" s="16"/>
      <c r="W1157" s="16"/>
      <c r="X1157" s="16"/>
      <c r="Y1157" s="16"/>
      <c r="Z1157" s="16"/>
    </row>
    <row r="1158" spans="1:26" ht="15.75" customHeight="1" x14ac:dyDescent="0.35">
      <c r="A1158" s="16"/>
      <c r="B1158" s="108"/>
      <c r="C1158" s="170"/>
      <c r="D1158" s="141"/>
      <c r="E1158" s="109"/>
      <c r="F1158" s="109"/>
      <c r="G1158" s="108"/>
      <c r="H1158" s="108"/>
      <c r="I1158" s="190"/>
      <c r="J1158" s="108"/>
      <c r="K1158" s="106"/>
      <c r="L1158" s="107"/>
      <c r="M1158" s="107"/>
      <c r="N1158" s="106"/>
      <c r="O1158" s="106"/>
      <c r="Q1158" s="271"/>
      <c r="R1158" s="16"/>
      <c r="S1158" s="276"/>
      <c r="T1158" s="16"/>
      <c r="U1158" s="16"/>
      <c r="V1158" s="16"/>
      <c r="W1158" s="16"/>
      <c r="X1158" s="16"/>
      <c r="Y1158" s="16"/>
      <c r="Z1158" s="16"/>
    </row>
    <row r="1159" spans="1:26" ht="15.75" customHeight="1" x14ac:dyDescent="0.35">
      <c r="A1159" s="16"/>
      <c r="B1159" s="108"/>
      <c r="C1159" s="170"/>
      <c r="D1159" s="141"/>
      <c r="E1159" s="109"/>
      <c r="F1159" s="109"/>
      <c r="G1159" s="108"/>
      <c r="H1159" s="108"/>
      <c r="I1159" s="190"/>
      <c r="J1159" s="108"/>
      <c r="K1159" s="106"/>
      <c r="L1159" s="107"/>
      <c r="M1159" s="107"/>
      <c r="N1159" s="106"/>
      <c r="O1159" s="106"/>
      <c r="Q1159" s="271"/>
      <c r="R1159" s="16"/>
      <c r="S1159" s="276"/>
      <c r="T1159" s="16"/>
      <c r="U1159" s="16"/>
      <c r="V1159" s="16"/>
      <c r="W1159" s="16"/>
      <c r="X1159" s="16"/>
      <c r="Y1159" s="16"/>
      <c r="Z1159" s="16"/>
    </row>
    <row r="1160" spans="1:26" ht="15.75" customHeight="1" x14ac:dyDescent="0.35">
      <c r="A1160" s="16"/>
      <c r="B1160" s="108"/>
      <c r="C1160" s="170"/>
      <c r="D1160" s="141"/>
      <c r="E1160" s="109"/>
      <c r="F1160" s="109"/>
      <c r="G1160" s="108"/>
      <c r="H1160" s="108"/>
      <c r="I1160" s="190"/>
      <c r="J1160" s="108"/>
      <c r="K1160" s="106"/>
      <c r="L1160" s="107"/>
      <c r="M1160" s="107"/>
      <c r="N1160" s="106"/>
      <c r="O1160" s="106"/>
      <c r="Q1160" s="271"/>
      <c r="R1160" s="16"/>
      <c r="S1160" s="276"/>
      <c r="T1160" s="16"/>
      <c r="U1160" s="16"/>
      <c r="V1160" s="16"/>
      <c r="W1160" s="16"/>
      <c r="X1160" s="16"/>
      <c r="Y1160" s="16"/>
      <c r="Z1160" s="16"/>
    </row>
    <row r="1161" spans="1:26" ht="15.75" customHeight="1" x14ac:dyDescent="0.35">
      <c r="A1161" s="16"/>
      <c r="B1161" s="108"/>
      <c r="C1161" s="170"/>
      <c r="D1161" s="141"/>
      <c r="E1161" s="109"/>
      <c r="F1161" s="109"/>
      <c r="G1161" s="108"/>
      <c r="H1161" s="108"/>
      <c r="I1161" s="190"/>
      <c r="J1161" s="108"/>
      <c r="K1161" s="106"/>
      <c r="L1161" s="107"/>
      <c r="M1161" s="107"/>
      <c r="N1161" s="106"/>
      <c r="O1161" s="106"/>
      <c r="Q1161" s="271"/>
      <c r="R1161" s="16"/>
      <c r="S1161" s="276"/>
      <c r="T1161" s="16"/>
      <c r="U1161" s="16"/>
      <c r="V1161" s="16"/>
      <c r="W1161" s="16"/>
      <c r="X1161" s="16"/>
      <c r="Y1161" s="16"/>
      <c r="Z1161" s="16"/>
    </row>
    <row r="1162" spans="1:26" ht="15.75" customHeight="1" x14ac:dyDescent="0.35">
      <c r="A1162" s="16"/>
      <c r="B1162" s="108"/>
      <c r="C1162" s="170"/>
      <c r="D1162" s="141"/>
      <c r="E1162" s="109"/>
      <c r="F1162" s="109"/>
      <c r="G1162" s="108"/>
      <c r="H1162" s="108"/>
      <c r="I1162" s="190"/>
      <c r="J1162" s="108"/>
      <c r="K1162" s="106"/>
      <c r="L1162" s="107"/>
      <c r="M1162" s="107"/>
      <c r="N1162" s="106"/>
      <c r="O1162" s="106"/>
      <c r="Q1162" s="271"/>
      <c r="R1162" s="16"/>
      <c r="S1162" s="276"/>
      <c r="T1162" s="16"/>
      <c r="U1162" s="16"/>
      <c r="V1162" s="16"/>
      <c r="W1162" s="16"/>
      <c r="X1162" s="16"/>
      <c r="Y1162" s="16"/>
      <c r="Z1162" s="16"/>
    </row>
    <row r="1163" spans="1:26" ht="15.75" customHeight="1" x14ac:dyDescent="0.35">
      <c r="A1163" s="16"/>
      <c r="B1163" s="108"/>
      <c r="C1163" s="170"/>
      <c r="D1163" s="141"/>
      <c r="E1163" s="109"/>
      <c r="F1163" s="109"/>
      <c r="G1163" s="108"/>
      <c r="H1163" s="108"/>
      <c r="I1163" s="190"/>
      <c r="J1163" s="108"/>
      <c r="K1163" s="106"/>
      <c r="L1163" s="107"/>
      <c r="M1163" s="107"/>
      <c r="N1163" s="106"/>
      <c r="O1163" s="106"/>
      <c r="Q1163" s="271"/>
      <c r="R1163" s="16"/>
      <c r="S1163" s="276"/>
      <c r="T1163" s="16"/>
      <c r="U1163" s="16"/>
      <c r="V1163" s="16"/>
      <c r="W1163" s="16"/>
      <c r="X1163" s="16"/>
      <c r="Y1163" s="16"/>
      <c r="Z1163" s="16"/>
    </row>
    <row r="1164" spans="1:26" ht="15.75" customHeight="1" x14ac:dyDescent="0.35">
      <c r="A1164" s="16"/>
      <c r="B1164" s="108"/>
      <c r="C1164" s="170"/>
      <c r="D1164" s="141"/>
      <c r="E1164" s="109"/>
      <c r="F1164" s="109"/>
      <c r="G1164" s="108"/>
      <c r="H1164" s="108"/>
      <c r="I1164" s="190"/>
      <c r="J1164" s="108"/>
      <c r="K1164" s="106"/>
      <c r="L1164" s="107"/>
      <c r="M1164" s="107"/>
      <c r="N1164" s="106"/>
      <c r="O1164" s="106"/>
      <c r="Q1164" s="271"/>
      <c r="R1164" s="16"/>
      <c r="S1164" s="276"/>
      <c r="T1164" s="16"/>
      <c r="U1164" s="16"/>
      <c r="V1164" s="16"/>
      <c r="W1164" s="16"/>
      <c r="X1164" s="16"/>
      <c r="Y1164" s="16"/>
      <c r="Z1164" s="16"/>
    </row>
    <row r="1165" spans="1:26" ht="15.75" customHeight="1" x14ac:dyDescent="0.35">
      <c r="A1165" s="16"/>
      <c r="B1165" s="108"/>
      <c r="C1165" s="170"/>
      <c r="D1165" s="141"/>
      <c r="E1165" s="109"/>
      <c r="F1165" s="109"/>
      <c r="G1165" s="108"/>
      <c r="H1165" s="108"/>
      <c r="I1165" s="190"/>
      <c r="J1165" s="108"/>
      <c r="K1165" s="106"/>
      <c r="L1165" s="107"/>
      <c r="M1165" s="107"/>
      <c r="N1165" s="106"/>
      <c r="O1165" s="106"/>
      <c r="Q1165" s="271"/>
      <c r="R1165" s="16"/>
      <c r="S1165" s="276"/>
      <c r="T1165" s="16"/>
      <c r="U1165" s="16"/>
      <c r="V1165" s="16"/>
      <c r="W1165" s="16"/>
      <c r="X1165" s="16"/>
      <c r="Y1165" s="16"/>
      <c r="Z1165" s="16"/>
    </row>
    <row r="1166" spans="1:26" ht="15.75" customHeight="1" x14ac:dyDescent="0.35">
      <c r="A1166" s="16"/>
      <c r="B1166" s="108"/>
      <c r="C1166" s="170"/>
      <c r="D1166" s="141"/>
      <c r="E1166" s="109"/>
      <c r="F1166" s="109"/>
      <c r="G1166" s="108"/>
      <c r="H1166" s="108"/>
      <c r="I1166" s="190"/>
      <c r="J1166" s="108"/>
      <c r="K1166" s="106"/>
      <c r="L1166" s="107"/>
      <c r="M1166" s="107"/>
      <c r="N1166" s="106"/>
      <c r="O1166" s="106"/>
      <c r="Q1166" s="271"/>
      <c r="R1166" s="16"/>
      <c r="S1166" s="276"/>
      <c r="T1166" s="16"/>
      <c r="U1166" s="16"/>
      <c r="V1166" s="16"/>
      <c r="W1166" s="16"/>
      <c r="X1166" s="16"/>
      <c r="Y1166" s="16"/>
      <c r="Z1166" s="16"/>
    </row>
    <row r="1167" spans="1:26" ht="15.75" customHeight="1" x14ac:dyDescent="0.35">
      <c r="A1167" s="16"/>
      <c r="B1167" s="108"/>
      <c r="C1167" s="170"/>
      <c r="D1167" s="141"/>
      <c r="E1167" s="109"/>
      <c r="F1167" s="109"/>
      <c r="G1167" s="108"/>
      <c r="H1167" s="108"/>
      <c r="I1167" s="190"/>
      <c r="J1167" s="108"/>
      <c r="K1167" s="106"/>
      <c r="L1167" s="107"/>
      <c r="M1167" s="107"/>
      <c r="N1167" s="106"/>
      <c r="O1167" s="106"/>
      <c r="Q1167" s="271"/>
      <c r="R1167" s="16"/>
      <c r="S1167" s="276"/>
      <c r="T1167" s="16"/>
      <c r="U1167" s="16"/>
      <c r="V1167" s="16"/>
      <c r="W1167" s="16"/>
      <c r="X1167" s="16"/>
      <c r="Y1167" s="16"/>
      <c r="Z1167" s="16"/>
    </row>
    <row r="1168" spans="1:26" ht="15.75" customHeight="1" x14ac:dyDescent="0.35">
      <c r="A1168" s="16"/>
      <c r="B1168" s="108"/>
      <c r="C1168" s="170"/>
      <c r="D1168" s="141"/>
      <c r="E1168" s="109"/>
      <c r="F1168" s="109"/>
      <c r="G1168" s="108"/>
      <c r="H1168" s="108"/>
      <c r="I1168" s="190"/>
      <c r="J1168" s="108"/>
      <c r="K1168" s="106"/>
      <c r="L1168" s="107"/>
      <c r="M1168" s="107"/>
      <c r="N1168" s="106"/>
      <c r="O1168" s="106"/>
      <c r="Q1168" s="271"/>
      <c r="R1168" s="16"/>
      <c r="S1168" s="276"/>
      <c r="T1168" s="16"/>
      <c r="U1168" s="16"/>
      <c r="V1168" s="16"/>
      <c r="W1168" s="16"/>
      <c r="X1168" s="16"/>
      <c r="Y1168" s="16"/>
      <c r="Z1168" s="16"/>
    </row>
    <row r="1169" spans="1:26" ht="15.75" customHeight="1" x14ac:dyDescent="0.35">
      <c r="A1169" s="16"/>
      <c r="B1169" s="108"/>
      <c r="C1169" s="170"/>
      <c r="D1169" s="141"/>
      <c r="E1169" s="109"/>
      <c r="F1169" s="109"/>
      <c r="G1169" s="108"/>
      <c r="H1169" s="108"/>
      <c r="I1169" s="190"/>
      <c r="J1169" s="108"/>
      <c r="K1169" s="106"/>
      <c r="L1169" s="107"/>
      <c r="M1169" s="107"/>
      <c r="N1169" s="106"/>
      <c r="O1169" s="106"/>
      <c r="Q1169" s="271"/>
      <c r="R1169" s="16"/>
      <c r="S1169" s="276"/>
      <c r="T1169" s="16"/>
      <c r="U1169" s="16"/>
      <c r="V1169" s="16"/>
      <c r="W1169" s="16"/>
      <c r="X1169" s="16"/>
      <c r="Y1169" s="16"/>
      <c r="Z1169" s="16"/>
    </row>
    <row r="1170" spans="1:26" ht="15.75" customHeight="1" x14ac:dyDescent="0.35">
      <c r="A1170" s="16"/>
      <c r="B1170" s="108"/>
      <c r="C1170" s="170"/>
      <c r="D1170" s="141"/>
      <c r="E1170" s="109"/>
      <c r="F1170" s="109"/>
      <c r="G1170" s="108"/>
      <c r="H1170" s="108"/>
      <c r="I1170" s="190"/>
      <c r="J1170" s="108"/>
      <c r="K1170" s="106"/>
      <c r="L1170" s="107"/>
      <c r="M1170" s="107"/>
      <c r="N1170" s="106"/>
      <c r="O1170" s="106"/>
      <c r="Q1170" s="271"/>
      <c r="R1170" s="16"/>
      <c r="S1170" s="276"/>
      <c r="T1170" s="16"/>
      <c r="U1170" s="16"/>
      <c r="V1170" s="16"/>
      <c r="W1170" s="16"/>
      <c r="X1170" s="16"/>
      <c r="Y1170" s="16"/>
      <c r="Z1170" s="16"/>
    </row>
    <row r="1171" spans="1:26" ht="15.75" customHeight="1" x14ac:dyDescent="0.35">
      <c r="A1171" s="16"/>
      <c r="B1171" s="108"/>
      <c r="C1171" s="170"/>
      <c r="D1171" s="141"/>
      <c r="E1171" s="109"/>
      <c r="F1171" s="109"/>
      <c r="G1171" s="108"/>
      <c r="H1171" s="108"/>
      <c r="I1171" s="190"/>
      <c r="J1171" s="108"/>
      <c r="K1171" s="106"/>
      <c r="L1171" s="107"/>
      <c r="M1171" s="107"/>
      <c r="N1171" s="106"/>
      <c r="O1171" s="106"/>
      <c r="Q1171" s="271"/>
      <c r="R1171" s="16"/>
      <c r="S1171" s="276"/>
      <c r="T1171" s="16"/>
      <c r="U1171" s="16"/>
      <c r="V1171" s="16"/>
      <c r="W1171" s="16"/>
      <c r="X1171" s="16"/>
      <c r="Y1171" s="16"/>
      <c r="Z1171" s="16"/>
    </row>
    <row r="1172" spans="1:26" ht="15.75" customHeight="1" x14ac:dyDescent="0.35">
      <c r="A1172" s="16"/>
      <c r="B1172" s="108"/>
      <c r="C1172" s="170"/>
      <c r="D1172" s="141"/>
      <c r="E1172" s="109"/>
      <c r="F1172" s="109"/>
      <c r="G1172" s="108"/>
      <c r="H1172" s="108"/>
      <c r="I1172" s="190"/>
      <c r="J1172" s="108"/>
      <c r="K1172" s="106"/>
      <c r="L1172" s="107"/>
      <c r="M1172" s="107"/>
      <c r="N1172" s="106"/>
      <c r="O1172" s="106"/>
      <c r="Q1172" s="271"/>
      <c r="R1172" s="16"/>
      <c r="S1172" s="276"/>
      <c r="T1172" s="16"/>
      <c r="U1172" s="16"/>
      <c r="V1172" s="16"/>
      <c r="W1172" s="16"/>
      <c r="X1172" s="16"/>
      <c r="Y1172" s="16"/>
      <c r="Z1172" s="16"/>
    </row>
    <row r="1173" spans="1:26" ht="15.75" customHeight="1" x14ac:dyDescent="0.35">
      <c r="A1173" s="16"/>
      <c r="B1173" s="108"/>
      <c r="C1173" s="170"/>
      <c r="D1173" s="141"/>
      <c r="E1173" s="109"/>
      <c r="F1173" s="109"/>
      <c r="G1173" s="108"/>
      <c r="H1173" s="108"/>
      <c r="I1173" s="190"/>
      <c r="J1173" s="108"/>
      <c r="K1173" s="106"/>
      <c r="L1173" s="107"/>
      <c r="M1173" s="107"/>
      <c r="N1173" s="106"/>
      <c r="O1173" s="106"/>
      <c r="Q1173" s="271"/>
      <c r="R1173" s="16"/>
      <c r="S1173" s="276"/>
      <c r="T1173" s="16"/>
      <c r="U1173" s="16"/>
      <c r="V1173" s="16"/>
      <c r="W1173" s="16"/>
      <c r="X1173" s="16"/>
      <c r="Y1173" s="16"/>
      <c r="Z1173" s="16"/>
    </row>
    <row r="1174" spans="1:26" ht="15.75" customHeight="1" x14ac:dyDescent="0.35">
      <c r="A1174" s="16"/>
      <c r="B1174" s="108"/>
      <c r="C1174" s="170"/>
      <c r="D1174" s="141"/>
      <c r="E1174" s="109"/>
      <c r="F1174" s="109"/>
      <c r="G1174" s="108"/>
      <c r="H1174" s="108"/>
      <c r="I1174" s="190"/>
      <c r="J1174" s="108"/>
      <c r="K1174" s="106"/>
      <c r="L1174" s="107"/>
      <c r="M1174" s="107"/>
      <c r="N1174" s="106"/>
      <c r="O1174" s="106"/>
      <c r="Q1174" s="271"/>
      <c r="R1174" s="16"/>
      <c r="S1174" s="276"/>
      <c r="T1174" s="16"/>
      <c r="U1174" s="16"/>
      <c r="V1174" s="16"/>
      <c r="W1174" s="16"/>
      <c r="X1174" s="16"/>
      <c r="Y1174" s="16"/>
      <c r="Z1174" s="16"/>
    </row>
    <row r="1175" spans="1:26" ht="15.75" customHeight="1" x14ac:dyDescent="0.35">
      <c r="A1175" s="16"/>
      <c r="B1175" s="108"/>
      <c r="C1175" s="170"/>
      <c r="D1175" s="141"/>
      <c r="E1175" s="109"/>
      <c r="F1175" s="109"/>
      <c r="G1175" s="108"/>
      <c r="H1175" s="108"/>
      <c r="I1175" s="190"/>
      <c r="J1175" s="108"/>
      <c r="K1175" s="106"/>
      <c r="L1175" s="107"/>
      <c r="M1175" s="107"/>
      <c r="N1175" s="106"/>
      <c r="O1175" s="106"/>
      <c r="Q1175" s="271"/>
      <c r="R1175" s="16"/>
      <c r="S1175" s="276"/>
      <c r="T1175" s="16"/>
      <c r="U1175" s="16"/>
      <c r="V1175" s="16"/>
      <c r="W1175" s="16"/>
      <c r="X1175" s="16"/>
      <c r="Y1175" s="16"/>
      <c r="Z1175" s="16"/>
    </row>
    <row r="1176" spans="1:26" ht="15.75" customHeight="1" x14ac:dyDescent="0.35">
      <c r="A1176" s="16"/>
      <c r="B1176" s="108"/>
      <c r="C1176" s="170"/>
      <c r="D1176" s="141"/>
      <c r="E1176" s="109"/>
      <c r="F1176" s="109"/>
      <c r="G1176" s="108"/>
      <c r="H1176" s="108"/>
      <c r="I1176" s="190"/>
      <c r="J1176" s="108"/>
      <c r="K1176" s="106"/>
      <c r="L1176" s="107"/>
      <c r="M1176" s="107"/>
      <c r="N1176" s="106"/>
      <c r="O1176" s="106"/>
      <c r="Q1176" s="271"/>
      <c r="R1176" s="16"/>
      <c r="S1176" s="276"/>
      <c r="T1176" s="16"/>
      <c r="U1176" s="16"/>
      <c r="V1176" s="16"/>
      <c r="W1176" s="16"/>
      <c r="X1176" s="16"/>
      <c r="Y1176" s="16"/>
      <c r="Z1176" s="16"/>
    </row>
    <row r="1177" spans="1:26" ht="15.75" customHeight="1" x14ac:dyDescent="0.35">
      <c r="A1177" s="16"/>
      <c r="B1177" s="108"/>
      <c r="C1177" s="170"/>
      <c r="D1177" s="141"/>
      <c r="E1177" s="109"/>
      <c r="F1177" s="109"/>
      <c r="G1177" s="108"/>
      <c r="H1177" s="108"/>
      <c r="I1177" s="190"/>
      <c r="J1177" s="108"/>
      <c r="K1177" s="106"/>
      <c r="L1177" s="107"/>
      <c r="M1177" s="107"/>
      <c r="N1177" s="106"/>
      <c r="O1177" s="106"/>
      <c r="Q1177" s="271"/>
      <c r="R1177" s="16"/>
      <c r="S1177" s="276"/>
      <c r="T1177" s="16"/>
      <c r="U1177" s="16"/>
      <c r="V1177" s="16"/>
      <c r="W1177" s="16"/>
      <c r="X1177" s="16"/>
      <c r="Y1177" s="16"/>
      <c r="Z1177" s="16"/>
    </row>
    <row r="1178" spans="1:26" ht="15.75" customHeight="1" x14ac:dyDescent="0.35">
      <c r="A1178" s="16"/>
      <c r="B1178" s="108"/>
      <c r="C1178" s="170"/>
      <c r="D1178" s="141"/>
      <c r="E1178" s="109"/>
      <c r="F1178" s="109"/>
      <c r="G1178" s="108"/>
      <c r="H1178" s="108"/>
      <c r="I1178" s="190"/>
      <c r="J1178" s="108"/>
      <c r="K1178" s="106"/>
      <c r="L1178" s="107"/>
      <c r="M1178" s="107"/>
      <c r="N1178" s="106"/>
      <c r="O1178" s="106"/>
      <c r="Q1178" s="271"/>
      <c r="R1178" s="16"/>
      <c r="S1178" s="276"/>
      <c r="T1178" s="16"/>
      <c r="U1178" s="16"/>
      <c r="V1178" s="16"/>
      <c r="W1178" s="16"/>
      <c r="X1178" s="16"/>
      <c r="Y1178" s="16"/>
      <c r="Z1178" s="16"/>
    </row>
  </sheetData>
  <conditionalFormatting sqref="D1:D330 D344:D1178">
    <cfRule type="notContainsBlanks" dxfId="3" priority="1">
      <formula>LEN(TRIM(D1))&gt;0</formula>
    </cfRule>
  </conditionalFormatting>
  <dataValidations count="3">
    <dataValidation type="custom" allowBlank="1" showDropDown="1" sqref="D2:D118 D132:D140 E208 E187:E190 E180:E184 E205:E206 E212" xr:uid="{00000000-0002-0000-0000-000000000000}">
      <formula1>OR(NOT(ISERROR(DATEVALUE(D2))), AND(ISNUMBER(D2), LEFT(CELL("format", D2))="D"))</formula1>
    </dataValidation>
    <dataValidation type="custom" allowBlank="1" showDropDown="1" sqref="E2:F118 E141:E144 E146:E149 E153 E155 E159 E161 E164:E165 F180 H180:J180 H183:J183 F183 F184:J184 F181:J182 F190 H185:J186 F187:J188 D222:D224 F212 D180:D191 F205:G206 F208:G208 G211:G212 D218:D220 F186 F196 H189:J190 E286:F287 E311:E312 E317 E318:F318 E324:F324 E326:E327 E333 E336 E340:F341 E344:F345" xr:uid="{00000000-0002-0000-0000-000001000000}">
      <formula1>AND(ISNUMBER(D2),(NOT(OR(NOT(ISERROR(DATEVALUE(D2))), AND(ISNUMBER(D2), LEFT(CELL("format", D2))="D")))))</formula1>
    </dataValidation>
    <dataValidation type="custom" allowBlank="1" showDropDown="1" sqref="G132:J140 G124 H141:J141 L180:L186 G142 G147 G153 G161 G2:J123 G286:G287 G318 G320 G324 G340:G341 G344:G345" xr:uid="{00000000-0002-0000-0000-000002000000}">
      <formula1>OR(TIMEVALUE(TEXT(G2, "hh:mm:ss"))=G2, AND(ISNUMBER(G2), LEFT(CELL("format", G2))="D"))</formula1>
    </dataValidation>
  </dataValidations>
  <hyperlinks>
    <hyperlink ref="O150" r:id="rId1" xr:uid="{565008B6-3E2D-4302-819A-FBEE8653AC88}"/>
    <hyperlink ref="O151" r:id="rId2" xr:uid="{2C3F23DC-5E64-4EB4-BB85-967EF3945856}"/>
    <hyperlink ref="O152" r:id="rId3" xr:uid="{8D53F75B-76D6-465A-896E-8ECDCAA9B0C9}"/>
    <hyperlink ref="O153" r:id="rId4" xr:uid="{73498E1B-6AF0-4784-8D47-334F674AECFA}"/>
    <hyperlink ref="O154" r:id="rId5" xr:uid="{7CCFBAC2-A077-44E7-8413-585963E78F6A}"/>
    <hyperlink ref="O155" r:id="rId6" xr:uid="{6413DD54-2B43-4872-B8F9-38E10C18D4BF}"/>
    <hyperlink ref="O156" r:id="rId7" xr:uid="{53D51D67-D2B6-4B59-925D-B96BB970BFC0}"/>
    <hyperlink ref="O157" r:id="rId8" xr:uid="{E21CBD56-7622-436F-A612-398D12C3924B}"/>
    <hyperlink ref="O158" r:id="rId9" xr:uid="{DC7D7941-2738-468A-9E48-B16160D5D1A5}"/>
    <hyperlink ref="O159" r:id="rId10" xr:uid="{41DC402B-61CF-4914-BF9A-4453FCC8992A}"/>
    <hyperlink ref="O160" r:id="rId11" xr:uid="{1A10A0E2-E2EE-47B5-87E0-E73C9B589CC6}"/>
    <hyperlink ref="O161" r:id="rId12" xr:uid="{36C867F1-DE74-447D-B27E-84C8BABCFD9A}"/>
    <hyperlink ref="O162" r:id="rId13" xr:uid="{1BAD2741-30A5-48CF-A5BD-7F99E1D4328D}"/>
    <hyperlink ref="O163" r:id="rId14" xr:uid="{D831B43E-D49C-490B-9DD8-07ACC6F835E1}"/>
    <hyperlink ref="O164" r:id="rId15" xr:uid="{C89BB60B-7841-4662-9907-A1017D0FFC67}"/>
    <hyperlink ref="O165" r:id="rId16" xr:uid="{481533BA-EB83-4CEF-809C-93058810787A}"/>
    <hyperlink ref="O166" r:id="rId17" xr:uid="{804C62E7-B894-4154-8606-B95D0C6178F5}"/>
    <hyperlink ref="O167" r:id="rId18" xr:uid="{572F0598-9CB6-4038-A5D2-E9824D468F5E}"/>
    <hyperlink ref="O168" r:id="rId19" xr:uid="{9DC405F8-5E94-4C4B-A225-3DB3041590EF}"/>
    <hyperlink ref="O169" r:id="rId20" xr:uid="{2434304B-341E-404A-B501-C5FC28FADC3F}"/>
    <hyperlink ref="O170" r:id="rId21" xr:uid="{3B0C79D4-2DA1-4FC2-8CF1-57FB18178D60}"/>
    <hyperlink ref="O171" r:id="rId22" xr:uid="{0D36DA7A-FB52-45A2-B510-540AD63603DD}"/>
    <hyperlink ref="O172" r:id="rId23" xr:uid="{1A7E31A1-698D-4720-A574-AE07292B07A5}"/>
    <hyperlink ref="O173" r:id="rId24" xr:uid="{57A52EC0-4EB9-4F9E-BD66-630DDEB1B699}"/>
    <hyperlink ref="O174" r:id="rId25" xr:uid="{00958E9C-D152-4FB7-9069-0D7202C3E6E3}"/>
    <hyperlink ref="O175" r:id="rId26" xr:uid="{CB106F84-4C31-447C-9728-FFF1F47336C4}"/>
    <hyperlink ref="O176" r:id="rId27" xr:uid="{E5C4B5DB-C07F-45B8-8702-34BF852CF590}"/>
    <hyperlink ref="O177" r:id="rId28" xr:uid="{1206813D-1FAA-480A-9547-27A4CF3E80FF}"/>
    <hyperlink ref="O178" r:id="rId29" xr:uid="{8BFF273A-9F70-408F-B0CC-C90EB6B5ABBD}"/>
    <hyperlink ref="O179" r:id="rId30" xr:uid="{BDD456C9-C685-4CC9-B552-348614F9EA6A}"/>
    <hyperlink ref="O185" r:id="rId31" xr:uid="{4FAAEF0D-0FB3-4D68-909E-191859B3EBF8}"/>
    <hyperlink ref="O186" r:id="rId32" xr:uid="{E7C83A85-F2A7-4EBD-A9A0-CC0F170F70DC}"/>
    <hyperlink ref="O187" r:id="rId33" xr:uid="{B7C1491F-1E23-4CE0-9FE0-2A6A9B081EC4}"/>
    <hyperlink ref="O188" r:id="rId34" xr:uid="{2F98ECE7-DD43-45B0-9577-6E5F0185BBF4}"/>
    <hyperlink ref="O189" r:id="rId35" xr:uid="{83C3F135-83A8-4573-9CB0-AF5F6C5DD109}"/>
    <hyperlink ref="O190" r:id="rId36" xr:uid="{6B3A2FE5-5239-4706-9F54-C89719492578}"/>
    <hyperlink ref="O191" r:id="rId37" xr:uid="{056928EB-3D23-4BC3-A81C-956DEECF4FBF}"/>
    <hyperlink ref="O192" r:id="rId38" xr:uid="{120AF756-0E31-478B-BCE3-AD36F712DDFD}"/>
    <hyperlink ref="O193" r:id="rId39" xr:uid="{99781C49-4781-489B-8E41-99DC92AD197B}"/>
    <hyperlink ref="O194" r:id="rId40" xr:uid="{96BEB5A6-3CEE-4CED-843F-4BBE740F76E7}"/>
    <hyperlink ref="O195" r:id="rId41" xr:uid="{6B3899F0-7659-4B10-9DF6-4CA380362886}"/>
    <hyperlink ref="O196" r:id="rId42" xr:uid="{D1FF281D-7D5C-4A38-9A3F-858E57F88850}"/>
    <hyperlink ref="O197" r:id="rId43" xr:uid="{33DF2126-A2E6-45A3-B719-BD43E587B21B}"/>
    <hyperlink ref="O198" r:id="rId44" xr:uid="{0C1CF38A-A3A8-4AAD-8E57-FD2B219A320D}"/>
    <hyperlink ref="O199" r:id="rId45" xr:uid="{31BA4194-D0DC-42A9-A658-DC90C26DDBE6}"/>
    <hyperlink ref="O200" r:id="rId46" xr:uid="{1C98961F-8AAC-430C-851A-F552EED842DC}"/>
    <hyperlink ref="O201" r:id="rId47" xr:uid="{6B89976A-6332-43F7-8708-D86EB7A985C5}"/>
    <hyperlink ref="O202" r:id="rId48" xr:uid="{0B9951C2-2291-45E3-82D7-D718EBB3A6CB}"/>
    <hyperlink ref="O203" r:id="rId49" xr:uid="{F53B3F5D-C519-43CB-A836-48C1A6C3240E}"/>
    <hyperlink ref="O204" r:id="rId50" xr:uid="{B360AF3F-1EAB-45A0-81C0-BFB88C612FAF}"/>
    <hyperlink ref="O205" r:id="rId51" xr:uid="{467DBB91-8846-45E3-88F1-32FDB611C1BF}"/>
    <hyperlink ref="O206" r:id="rId52" xr:uid="{3B09A519-9F5F-4A38-A7E8-FE53580D2D74}"/>
    <hyperlink ref="O207" r:id="rId53" xr:uid="{E648BC06-418A-41F8-957E-784B90347827}"/>
    <hyperlink ref="O208" r:id="rId54" xr:uid="{70EF9FDC-81FB-4253-9C2A-D2D75C72BC37}"/>
    <hyperlink ref="O209" r:id="rId55" xr:uid="{CD976701-5418-4372-B8A6-D4C719D62A7E}"/>
    <hyperlink ref="O210" r:id="rId56" xr:uid="{2999C227-CE6E-4653-97E2-399A80D009D9}"/>
    <hyperlink ref="O211" r:id="rId57" xr:uid="{F2DA7FA5-5DC6-486F-B7F7-E7FD653B4613}"/>
    <hyperlink ref="O212" r:id="rId58" xr:uid="{E0AF16E7-13C7-4321-8993-0A3401CDB7D2}"/>
    <hyperlink ref="O213" r:id="rId59" xr:uid="{CA1A5D7A-6C48-4C6D-9A43-A457356DD21D}"/>
    <hyperlink ref="O214" r:id="rId60" xr:uid="{624D1F45-9D00-4CC8-AB4C-62F72CA05C65}"/>
    <hyperlink ref="O215" r:id="rId61" xr:uid="{193EB71E-2537-425D-8C21-664103A75003}"/>
    <hyperlink ref="O216" r:id="rId62" xr:uid="{3DB384E3-5227-4BD9-8F0D-BB6412F811F1}"/>
    <hyperlink ref="O217" r:id="rId63" xr:uid="{ADCB3955-E375-47FB-9FAF-D1C676107D42}"/>
    <hyperlink ref="O218" r:id="rId64" xr:uid="{E07C12C1-EC86-4912-83E8-0AD9BB49BC58}"/>
    <hyperlink ref="O219" r:id="rId65" xr:uid="{66CF8A45-0E3E-465D-9E44-2A60FCF98BEC}"/>
    <hyperlink ref="O220" r:id="rId66" xr:uid="{3758B89E-21DA-415F-8D73-43B849156095}"/>
    <hyperlink ref="O221" r:id="rId67" xr:uid="{9F0DDC0A-97E5-462E-98DE-F9EAE0782AE4}"/>
    <hyperlink ref="O222" r:id="rId68" xr:uid="{0BE94AB4-D8EF-4281-AA74-BABF5B6D99FC}"/>
    <hyperlink ref="O223" r:id="rId69" xr:uid="{C012CEF7-65CD-4D67-A12A-C396F4854C5A}"/>
    <hyperlink ref="O224" r:id="rId70" xr:uid="{68E2CCA8-7FEC-4396-838B-8B696EEC33EC}"/>
    <hyperlink ref="O225" r:id="rId71" xr:uid="{6EBEBE7C-E685-4A24-BDFB-0D294076CB46}"/>
    <hyperlink ref="O226" r:id="rId72" xr:uid="{8C0166F2-C126-4D38-B839-A6F68BE92308}"/>
    <hyperlink ref="O227" r:id="rId73" xr:uid="{F82E6F99-32DD-4F4F-9461-5918FE64C60B}"/>
    <hyperlink ref="O228" r:id="rId74" xr:uid="{282D3477-DB88-4591-B363-80D2DFF06C37}"/>
    <hyperlink ref="O229" r:id="rId75" xr:uid="{31D5AF75-FAEE-4EEB-B49D-73D42EC37843}"/>
    <hyperlink ref="O230" r:id="rId76" xr:uid="{96327983-A8A6-4B63-801D-5C4B98EB762F}"/>
    <hyperlink ref="O231" r:id="rId77" xr:uid="{4A2FD27F-CF23-4759-A4B5-ED176F7BEDD7}"/>
    <hyperlink ref="O232" r:id="rId78" xr:uid="{E082BE2F-7372-4E7B-B23C-7BE3688557F0}"/>
    <hyperlink ref="O236" r:id="rId79" xr:uid="{36AA30B1-0E60-44D1-88F6-2C89133552EE}"/>
    <hyperlink ref="O281" r:id="rId80" xr:uid="{BC38103B-34B7-41A0-9625-E0339130FB18}"/>
    <hyperlink ref="O2" r:id="rId81" xr:uid="{C116E457-4C27-4FE3-929D-B86F90A61797}"/>
    <hyperlink ref="O3" r:id="rId82" xr:uid="{49DF4D6A-7D54-4B3F-8FC0-F3E00F786E20}"/>
    <hyperlink ref="O4" r:id="rId83" xr:uid="{7B23999C-68CE-47A5-9F7F-52672A2AD975}"/>
    <hyperlink ref="O5" r:id="rId84" xr:uid="{A0FCAACB-6227-45ED-B16A-587C7332ADDF}"/>
    <hyperlink ref="O6" r:id="rId85" xr:uid="{7F4FAC72-A066-4F07-B034-9DF10BEA9D89}"/>
    <hyperlink ref="O7" r:id="rId86" xr:uid="{1B87F4AC-87B1-4730-98F9-250F174B3047}"/>
    <hyperlink ref="O8" r:id="rId87" xr:uid="{46ACFF09-A87F-4368-B46F-D721C6E40495}"/>
    <hyperlink ref="O9" r:id="rId88" xr:uid="{EBACE019-72E3-4510-BE46-EA26A6851F67}"/>
    <hyperlink ref="O10" r:id="rId89" xr:uid="{B97C3374-F360-4845-8320-46A8E77F2B31}"/>
    <hyperlink ref="O11" r:id="rId90" xr:uid="{2E3C960D-F4EC-4B91-B699-4019BE2388A7}"/>
    <hyperlink ref="O12" r:id="rId91" xr:uid="{9154ABE9-C92E-4114-ABC9-E7E46D585A84}"/>
    <hyperlink ref="O13" r:id="rId92" xr:uid="{6A2561A4-B162-444E-B04F-7679B75535C0}"/>
    <hyperlink ref="O14" r:id="rId93" xr:uid="{E6B093EE-DD0F-4EFA-A37D-A4C164D7C09D}"/>
    <hyperlink ref="O15" r:id="rId94" xr:uid="{49B2ADC7-E81A-4767-88EA-3202216A2DE1}"/>
    <hyperlink ref="O16" r:id="rId95" xr:uid="{F5BEAA7C-3F46-4CFA-846B-30B551EA52EC}"/>
    <hyperlink ref="O17" r:id="rId96" xr:uid="{38B790F7-395B-4DEE-BEC0-D5701FBB98E4}"/>
    <hyperlink ref="O18" r:id="rId97" xr:uid="{02BBFCE7-F3BC-4D19-AAF3-10792BA7CAB2}"/>
    <hyperlink ref="O19" r:id="rId98" xr:uid="{82CF08B6-0E64-49EC-BA52-D84702D4A79A}"/>
    <hyperlink ref="O20" r:id="rId99" xr:uid="{37BFC6F1-930C-472E-B37E-5C56E1DA7F8F}"/>
    <hyperlink ref="O21" r:id="rId100" xr:uid="{9DD55801-BF2E-4BE8-852F-F9C1072D82DC}"/>
    <hyperlink ref="O22" r:id="rId101" xr:uid="{637A37E7-216F-49D7-83EF-690133E74136}"/>
    <hyperlink ref="O23" r:id="rId102" xr:uid="{50E2DB83-2597-4D74-BC34-9FAE689B299F}"/>
    <hyperlink ref="O24" r:id="rId103" xr:uid="{9ED327DF-8AE2-4BCA-B66E-F432F6A82AA0}"/>
    <hyperlink ref="O25" r:id="rId104" xr:uid="{1A0CD0AF-D4CC-4631-B18C-1350B79D90A0}"/>
    <hyperlink ref="O26" r:id="rId105" xr:uid="{D2CAA42E-E59B-4C65-B876-12268B89F97E}"/>
    <hyperlink ref="O27" r:id="rId106" xr:uid="{86B8C1DC-19D6-4530-9B19-5A8E1218C2CF}"/>
    <hyperlink ref="O28" r:id="rId107" xr:uid="{4A26D431-73C4-4FBB-A88F-B39D6F253079}"/>
    <hyperlink ref="O29" r:id="rId108" xr:uid="{217C23D5-88CB-452E-A7F9-96380BE0C797}"/>
    <hyperlink ref="O30" r:id="rId109" xr:uid="{CABC1655-AFED-4460-B314-872E6C77DBE2}"/>
    <hyperlink ref="O31" r:id="rId110" xr:uid="{34005B74-BAAC-4279-833C-1900074D1838}"/>
    <hyperlink ref="O32" r:id="rId111" xr:uid="{D2F492C3-FFCE-4D6D-9642-19EF27276F62}"/>
    <hyperlink ref="O33" r:id="rId112" xr:uid="{C483102C-AD9B-42D0-8F72-98C24F6A4DD4}"/>
    <hyperlink ref="O34" r:id="rId113" xr:uid="{574D5AF7-7653-4813-A8C0-5FED9DD9BC1A}"/>
    <hyperlink ref="O35" r:id="rId114" xr:uid="{99E00942-60E2-4DD8-9EC4-6E1B233DC059}"/>
    <hyperlink ref="O36" r:id="rId115" location="wrap_live_exp" xr:uid="{08FAA5B7-0362-4A99-8B2E-1C8EF80BC979}"/>
    <hyperlink ref="O37" r:id="rId116" xr:uid="{E154481E-F76F-48C6-B9D0-9E204D53A612}"/>
    <hyperlink ref="O38" r:id="rId117" xr:uid="{A4A67073-E603-4566-9EA1-8A55A16399B5}"/>
    <hyperlink ref="O39" r:id="rId118" xr:uid="{80E77658-228B-446A-B695-61A74EC57611}"/>
    <hyperlink ref="O40" r:id="rId119" xr:uid="{EE3F1161-6F07-4DAD-A3AB-9F426EF0C2C6}"/>
    <hyperlink ref="O41" r:id="rId120" xr:uid="{68A25C9B-7CE9-40A5-B82E-1DE4335A66CE}"/>
    <hyperlink ref="O42" r:id="rId121" xr:uid="{AE441491-43AF-451D-A54E-1DAE8CF9978A}"/>
    <hyperlink ref="O43" r:id="rId122" xr:uid="{517E4EB1-8CFA-4677-9301-FB26C17BE266}"/>
    <hyperlink ref="O44" r:id="rId123" xr:uid="{84390903-BADE-4AEA-A66B-D0931A195827}"/>
    <hyperlink ref="O45" r:id="rId124" xr:uid="{53704E56-50A9-4AC9-9B74-6AB906C48C59}"/>
    <hyperlink ref="O46" r:id="rId125" xr:uid="{5171A115-51CA-4727-B633-962E65A6EA23}"/>
    <hyperlink ref="O47" r:id="rId126" xr:uid="{3169FA72-013D-4934-978E-0F79DFCBD9AA}"/>
    <hyperlink ref="O48" r:id="rId127" xr:uid="{54F145DC-1D5A-4235-84D1-AC45278C241E}"/>
    <hyperlink ref="O49" r:id="rId128" xr:uid="{57DE13DC-EE7C-400C-85A5-4CA23F93019D}"/>
    <hyperlink ref="O50" r:id="rId129" xr:uid="{2DA1900F-5314-43C3-A3F6-F5DFEA613C0C}"/>
    <hyperlink ref="O51" r:id="rId130" xr:uid="{2F6401C9-22AE-4A5D-BF23-F63616C9269B}"/>
    <hyperlink ref="O52" r:id="rId131" xr:uid="{57A11424-9321-4B37-92D7-46A1BF8D2846}"/>
    <hyperlink ref="O53" r:id="rId132" xr:uid="{BFB08CAA-2E0B-408B-9652-163B16C8B4CC}"/>
    <hyperlink ref="O54" r:id="rId133" xr:uid="{56BB0729-DAF5-437D-9408-23E39AC2AE24}"/>
    <hyperlink ref="O55" r:id="rId134" xr:uid="{16611D0B-4DD6-4EC0-BFA1-916F6F3BEE62}"/>
    <hyperlink ref="O56" r:id="rId135" xr:uid="{C217B558-B2AB-454E-870E-9A6979C48E9E}"/>
    <hyperlink ref="O57" r:id="rId136" xr:uid="{3D4A6BAD-8940-4DAE-B70C-C518744BC302}"/>
    <hyperlink ref="O58" r:id="rId137" xr:uid="{DB48754E-EE14-48F6-8271-8CD8E1828FAF}"/>
    <hyperlink ref="O59" r:id="rId138" xr:uid="{3148B304-3C31-4A97-A9CA-C1A7329207BB}"/>
    <hyperlink ref="O60" r:id="rId139" xr:uid="{F1983432-1867-48ED-A0C4-33136910F05E}"/>
    <hyperlink ref="O61" r:id="rId140" xr:uid="{FFD77CF8-6D87-4EBD-B2DD-A218D42D9804}"/>
    <hyperlink ref="O62" r:id="rId141" xr:uid="{B6F5869F-DFA9-4D25-B469-28DCB45D3FF5}"/>
    <hyperlink ref="O63" r:id="rId142" xr:uid="{4949BE58-BEFE-4C41-9DFC-F5EFE0E22AAF}"/>
    <hyperlink ref="O64" r:id="rId143" xr:uid="{035B811B-82D6-4C2D-A353-155F1F54DC5D}"/>
    <hyperlink ref="O65" r:id="rId144" xr:uid="{62460F91-0EB6-448C-B99F-FB7BFA2146D2}"/>
    <hyperlink ref="O66" r:id="rId145" xr:uid="{BAF8E460-713A-4BA0-9D14-A0405FA73F68}"/>
    <hyperlink ref="O67" r:id="rId146" xr:uid="{40B3C332-B11A-4CC9-A663-75BF6263A5E1}"/>
    <hyperlink ref="O68" r:id="rId147" xr:uid="{3BDCDDDF-8711-4FDA-B2A5-0EA3F7C01508}"/>
    <hyperlink ref="O69" r:id="rId148" xr:uid="{22E75717-9849-4788-B8FE-E5FED3402DC6}"/>
    <hyperlink ref="O70" r:id="rId149" xr:uid="{12CA62D8-51C9-48A8-B193-107FE9209662}"/>
    <hyperlink ref="O71" r:id="rId150" xr:uid="{C33D8B2F-650E-4B9B-BE98-988D396385B4}"/>
    <hyperlink ref="O72" r:id="rId151" xr:uid="{F23EDD65-D1E7-42B0-B8CB-F8D16BC9CEA0}"/>
    <hyperlink ref="O73" r:id="rId152" xr:uid="{F9D847AD-3758-4C1F-BE24-A44F88BCA4FA}"/>
    <hyperlink ref="O74" r:id="rId153" xr:uid="{749CB1A9-E0BD-4957-B421-D3E146C998A8}"/>
    <hyperlink ref="O75" r:id="rId154" xr:uid="{DC4E1016-9D80-4445-B324-B7F374DA3B32}"/>
    <hyperlink ref="O76" r:id="rId155" xr:uid="{8E18D056-BB9C-4FD7-9D88-63979D020CBC}"/>
    <hyperlink ref="O77" r:id="rId156" xr:uid="{95B5DB1A-6B80-40B3-B6B4-7AD11EB442CF}"/>
    <hyperlink ref="O78" r:id="rId157" xr:uid="{01B553B3-B8A7-4D9B-9864-B2CF1DF89E95}"/>
    <hyperlink ref="O79" r:id="rId158" xr:uid="{01DEC5AF-012D-42C8-837A-537D82D7B088}"/>
    <hyperlink ref="O80" r:id="rId159" xr:uid="{B3E1A372-A1E3-41D3-8602-084178F557D2}"/>
    <hyperlink ref="O81" r:id="rId160" xr:uid="{908BDB54-370B-46C7-AA1A-968D07709231}"/>
    <hyperlink ref="O82" r:id="rId161" xr:uid="{6221C9C0-0FEC-4EEA-89AB-2DBA7B5C55A7}"/>
    <hyperlink ref="O83" r:id="rId162" xr:uid="{9C80AF12-44AD-413E-B187-9F8CFA874D5C}"/>
    <hyperlink ref="O84" r:id="rId163" xr:uid="{406453B0-83EE-42BA-BB86-D8908A45F926}"/>
    <hyperlink ref="O85" r:id="rId164" xr:uid="{4A096F12-C3AE-4B90-9D73-080CCED2B87A}"/>
    <hyperlink ref="O86" r:id="rId165" xr:uid="{357326A8-3C28-4BA7-AE39-9979A17494ED}"/>
    <hyperlink ref="O87" r:id="rId166" xr:uid="{A39965B7-FF2C-4ECB-B725-449360BA0C89}"/>
    <hyperlink ref="O88" r:id="rId167" xr:uid="{1E4E4CBF-C56E-473C-8463-49BDD17E483B}"/>
    <hyperlink ref="O89" r:id="rId168" xr:uid="{76174911-F83F-435B-9541-29ED73FAC96F}"/>
    <hyperlink ref="O90" r:id="rId169" xr:uid="{E6F67673-518D-44D0-A206-D12E38783228}"/>
    <hyperlink ref="O91" r:id="rId170" xr:uid="{0B749101-7B9E-42D5-9066-EB6BDEBFA40B}"/>
    <hyperlink ref="O92" r:id="rId171" xr:uid="{4107E4ED-7A28-42F2-B6C0-A41B6DA2556A}"/>
    <hyperlink ref="O93" r:id="rId172" xr:uid="{1CEB64E3-6618-4869-BB1C-A763BE40ABC3}"/>
    <hyperlink ref="O94" r:id="rId173" xr:uid="{E5A7DDF4-112B-4105-96EF-0B6DB701CCD6}"/>
    <hyperlink ref="O95" r:id="rId174" xr:uid="{DC675605-CBAE-4DE2-B617-46A057BE05A9}"/>
    <hyperlink ref="O96" r:id="rId175" xr:uid="{48DB396F-013C-48D4-ABA9-53D532735B13}"/>
    <hyperlink ref="O97" r:id="rId176" xr:uid="{844226F4-B6BA-498F-90F2-6A655B365046}"/>
    <hyperlink ref="O98" r:id="rId177" xr:uid="{E15722D7-021E-4C1B-8777-09FE29E1A2AE}"/>
    <hyperlink ref="O99" r:id="rId178" xr:uid="{33D4376A-5024-4B69-B17E-B60A3CC9CD4F}"/>
    <hyperlink ref="O100" r:id="rId179" xr:uid="{BFB9223A-C9B7-4FF1-83A6-7F6FD8E3DDB4}"/>
    <hyperlink ref="O101" r:id="rId180" xr:uid="{A7579819-0FCC-4C3B-B7A2-8FCE9935FC0C}"/>
    <hyperlink ref="O102" r:id="rId181" xr:uid="{05B99806-76C1-4088-8E7F-2954F3684D14}"/>
    <hyperlink ref="O103" r:id="rId182" xr:uid="{018A2095-6054-45F0-A8FB-609FADDDF9EB}"/>
    <hyperlink ref="O104" r:id="rId183" xr:uid="{3CEE6A42-E0F5-42CD-9C09-FAD2CD0AFCBC}"/>
    <hyperlink ref="O105" r:id="rId184" xr:uid="{352B079A-4040-441E-94A2-C39E8EC260C7}"/>
    <hyperlink ref="O106" r:id="rId185" xr:uid="{FD8F79FA-7DCA-4B05-8F35-2D24B675E90B}"/>
    <hyperlink ref="O107" r:id="rId186" xr:uid="{733F940D-D69C-4371-A698-7F096E0A6ED0}"/>
    <hyperlink ref="O108" r:id="rId187" xr:uid="{2B742371-47C9-46C6-8118-8C756FEBB681}"/>
    <hyperlink ref="O109" r:id="rId188" xr:uid="{FE1CAE03-AC71-4139-8845-15CD2AC488AC}"/>
    <hyperlink ref="O110" r:id="rId189" xr:uid="{D7D146E9-4DBB-4F94-818D-65AC8CE091B9}"/>
    <hyperlink ref="O111" r:id="rId190" xr:uid="{7752C203-048B-405D-846A-0B1CE2231B7A}"/>
    <hyperlink ref="O112" r:id="rId191" xr:uid="{ACE371A8-62F3-4557-99DC-DFDA172B726A}"/>
    <hyperlink ref="O113" r:id="rId192" xr:uid="{623E6E9E-F1EF-4C57-9E99-033285A4F9DE}"/>
    <hyperlink ref="O114" r:id="rId193" xr:uid="{BC1A539E-7C62-4B09-A20A-53ED2D56D7F9}"/>
    <hyperlink ref="O115" r:id="rId194" xr:uid="{C8DB90CC-C536-4DAF-8C37-9A68B08EA4B0}"/>
    <hyperlink ref="O116" r:id="rId195" xr:uid="{E82D540A-D826-49EB-ACB7-5386C44D31A3}"/>
    <hyperlink ref="O117" r:id="rId196" xr:uid="{5C80BE1A-F177-422D-AFC4-CA71751602DF}"/>
    <hyperlink ref="O118" r:id="rId197" xr:uid="{B1F5796B-55F1-4D38-B0C0-B0788F1572E6}"/>
    <hyperlink ref="O119" r:id="rId198" xr:uid="{735F9C95-B23B-484B-A0EF-002BF3DC68AA}"/>
    <hyperlink ref="O120" r:id="rId199" xr:uid="{2AC488B1-272C-4C17-AF30-296F9E6FDA4B}"/>
    <hyperlink ref="O121" r:id="rId200" xr:uid="{32BBD012-A989-4C2C-ACBF-C392B94A994D}"/>
    <hyperlink ref="O122" r:id="rId201" xr:uid="{D02585A9-D0A7-4B1E-8EAD-7EE661AE130B}"/>
    <hyperlink ref="O123" r:id="rId202" xr:uid="{F2EEE600-1D6E-443A-A155-3779E61E98B5}"/>
    <hyperlink ref="O124" r:id="rId203" xr:uid="{DE8C8F81-5F26-4B6E-845D-756AB12203E4}"/>
    <hyperlink ref="O125" r:id="rId204" xr:uid="{3AC69FBA-DE85-49A6-A90E-0207D88AB06C}"/>
    <hyperlink ref="O126" r:id="rId205" xr:uid="{9C8488BD-8425-4662-B7A0-C9725D018B69}"/>
    <hyperlink ref="O127" r:id="rId206" xr:uid="{EF0ED3C4-124E-4D1D-AB34-AFDA66705E20}"/>
    <hyperlink ref="O128" r:id="rId207" xr:uid="{D6081CD0-53A1-45E8-B011-A8DEC57BE813}"/>
    <hyperlink ref="O129" r:id="rId208" xr:uid="{74D311F4-37A2-41A4-82F4-9C25101D002F}"/>
    <hyperlink ref="O130" r:id="rId209" xr:uid="{001DB0B1-B921-44A0-892A-A3D642AFC9E2}"/>
    <hyperlink ref="O131" r:id="rId210" xr:uid="{B592DC27-1DC7-4318-A6AC-E042C59D29DE}"/>
    <hyperlink ref="O132" r:id="rId211" xr:uid="{19C3389B-ABA2-41F8-9DBF-F07ABED9D72E}"/>
    <hyperlink ref="O133" r:id="rId212" xr:uid="{63A4315B-F73F-4B96-9EFA-63F34612145F}"/>
    <hyperlink ref="O134" r:id="rId213" xr:uid="{7FA9945E-AC86-4311-A96C-C9592BEB322A}"/>
    <hyperlink ref="O135" r:id="rId214" xr:uid="{79732535-330A-453A-931F-0E34C693CD02}"/>
    <hyperlink ref="O136" r:id="rId215" xr:uid="{37DF6EA0-59BF-46BF-A5CD-E45A0876AEA6}"/>
    <hyperlink ref="O137" r:id="rId216" xr:uid="{0DB94848-E1A9-4E32-A1F2-97E8E7526839}"/>
    <hyperlink ref="O138" r:id="rId217" xr:uid="{4DCF70AB-0B84-49C2-BF6C-C3B7011B2E27}"/>
    <hyperlink ref="O139" r:id="rId218" xr:uid="{1064DCA6-5208-49F7-90DD-19A405F46119}"/>
    <hyperlink ref="O140" r:id="rId219" xr:uid="{FE86F1B5-0331-4D5F-9C76-8E94934C008A}"/>
    <hyperlink ref="O141" r:id="rId220" xr:uid="{011F03C0-E2A2-45F5-A468-51DD0AFAE754}"/>
    <hyperlink ref="O142" r:id="rId221" xr:uid="{222EBEA0-D24C-4A9E-B44E-2E2CA4B32092}"/>
    <hyperlink ref="O143" r:id="rId222" xr:uid="{9ADA3247-0461-4ED4-96EB-BFCACCAA6790}"/>
    <hyperlink ref="O144" r:id="rId223" xr:uid="{620598FF-686C-4F47-98E6-DF797AEC61C2}"/>
    <hyperlink ref="O145" r:id="rId224" xr:uid="{6D241AD3-5B11-4177-B527-AAA0179F26F2}"/>
    <hyperlink ref="O146" r:id="rId225" xr:uid="{59A166A2-CD08-4E91-BBF7-27CE09164BB4}"/>
    <hyperlink ref="O147" r:id="rId226" xr:uid="{A66EF47A-AF89-420D-8F19-CDB0C1015F78}"/>
    <hyperlink ref="O148" r:id="rId227" xr:uid="{94C0232A-28BD-45E5-818C-647DBD9063E8}"/>
    <hyperlink ref="O149" r:id="rId228" xr:uid="{EE91F3E7-6E19-4BE7-8114-2AD392ECAC98}"/>
    <hyperlink ref="O180" r:id="rId229" xr:uid="{1CE40693-43A7-4CBF-8444-636236FEE0F4}"/>
    <hyperlink ref="O182" r:id="rId230" xr:uid="{310F80BD-B573-40E2-BA66-0A7D307B6B29}"/>
    <hyperlink ref="O183" r:id="rId231" xr:uid="{C38E758A-B61A-4696-8E44-F5DDD895CB59}"/>
    <hyperlink ref="O233" r:id="rId232" xr:uid="{ACC37098-53FB-4B02-9393-3E597BA5354D}"/>
    <hyperlink ref="O234" r:id="rId233" xr:uid="{7A956AC5-701A-403A-BBC2-1B4B95E53FA1}"/>
    <hyperlink ref="O235" r:id="rId234" xr:uid="{493064F2-4929-4EBE-A612-BFEA45FBC233}"/>
    <hyperlink ref="O237" r:id="rId235" xr:uid="{6B1591BF-9F9A-499C-9696-6AC88BBACF20}"/>
    <hyperlink ref="O238" r:id="rId236" xr:uid="{ECD0236A-3E92-41AE-8ADC-B401107EC8B6}"/>
    <hyperlink ref="O240" r:id="rId237" xr:uid="{7E5FD06B-8DA9-4029-A1A6-E08EE562C948}"/>
    <hyperlink ref="O239" r:id="rId238" xr:uid="{C2B62C35-22A0-428C-A070-AFA90987B2EE}"/>
    <hyperlink ref="O241" r:id="rId239" xr:uid="{24FE640A-DBE5-4F78-AE99-D87FBA5254B9}"/>
    <hyperlink ref="O242" r:id="rId240" xr:uid="{5D2580F9-1035-4DA2-B3BF-37B0E6F6A52E}"/>
    <hyperlink ref="O243" r:id="rId241" xr:uid="{97607947-136B-4EA9-A2A6-8B69B16C28BC}"/>
    <hyperlink ref="O244" r:id="rId242" xr:uid="{848BCEA8-C7BA-431A-A741-B52DFBC7C4B0}"/>
    <hyperlink ref="O245" r:id="rId243" xr:uid="{2FFEBC7F-D924-4048-9BD4-D6F0D5FB6140}"/>
    <hyperlink ref="O246" r:id="rId244" xr:uid="{DF08902C-4913-4130-8FC2-BB9502F70DBB}"/>
    <hyperlink ref="O247" r:id="rId245" xr:uid="{C9716582-8F6F-4D93-952A-9DB3918BFBF2}"/>
    <hyperlink ref="O248" r:id="rId246" xr:uid="{60240B71-6920-4ADF-8DB4-AB2FFA408D1E}"/>
    <hyperlink ref="O249" r:id="rId247" xr:uid="{05ED8990-6B6B-49CF-85D0-4D5905A947BE}"/>
    <hyperlink ref="O250" r:id="rId248" xr:uid="{3CEAAF28-63F9-4746-9AEA-A75A6834C7A3}"/>
    <hyperlink ref="O251" r:id="rId249" xr:uid="{11BC1528-883E-48E2-9269-1C54ABE711AC}"/>
    <hyperlink ref="O252" r:id="rId250" xr:uid="{D21B2C42-849A-4C98-9BBF-F232AEE1EB1A}"/>
    <hyperlink ref="O256" r:id="rId251" xr:uid="{6CE4FBB4-292F-4AE3-B713-A77261C520AE}"/>
    <hyperlink ref="O257" r:id="rId252" xr:uid="{9D7FE5A6-5AF0-460C-B50E-E8B5D86D782A}"/>
    <hyperlink ref="O258" r:id="rId253" xr:uid="{80D8AC7E-5D4A-44C8-81BC-E8069E7BF766}"/>
    <hyperlink ref="O261" r:id="rId254" xr:uid="{CD048A2D-D045-4446-8C57-1D0892AF8332}"/>
    <hyperlink ref="O260" r:id="rId255" xr:uid="{13701C58-FBC3-46BA-8E81-253EB9A6428E}"/>
    <hyperlink ref="O259" r:id="rId256" xr:uid="{5B0EE3DB-51D8-4AC6-85CB-9E3EED64CD42}"/>
    <hyperlink ref="O262" r:id="rId257" xr:uid="{84B114B7-0B8A-4693-A6C2-00E506F3528C}"/>
    <hyperlink ref="O264" r:id="rId258" xr:uid="{72AFA96A-92B6-4321-A6BF-61C6825501F1}"/>
    <hyperlink ref="O266" r:id="rId259" xr:uid="{0F820E26-193F-467A-A327-33549D3E0F10}"/>
    <hyperlink ref="O267" r:id="rId260" xr:uid="{DC1BA454-E248-4872-B11D-771BC0526CFC}"/>
    <hyperlink ref="O269" r:id="rId261" xr:uid="{78F907A0-E579-46A5-852D-EAA7E6E3A7C3}"/>
    <hyperlink ref="O270" r:id="rId262" xr:uid="{B7FD67CD-BCC9-4599-86BD-1C35AE2E001F}"/>
    <hyperlink ref="O272" r:id="rId263" xr:uid="{708A0BD2-DF64-4B1E-90DB-80DB1FABCAF1}"/>
    <hyperlink ref="O273" r:id="rId264" xr:uid="{7E16C14E-408C-4F40-9CBC-3099423CAAF0}"/>
    <hyperlink ref="O274" r:id="rId265" xr:uid="{2FC8F1E9-E363-4791-A70A-ED00CF66E9B3}"/>
    <hyperlink ref="O276" r:id="rId266" xr:uid="{6CE4A38A-61CC-408A-B24E-82B95B0D6FB1}"/>
    <hyperlink ref="O277" r:id="rId267" xr:uid="{66B4C0C6-C832-4220-9179-567686E72D04}"/>
    <hyperlink ref="O278" r:id="rId268" xr:uid="{E1FC2C5B-5B86-4345-BB50-172E949999A9}"/>
    <hyperlink ref="O279" r:id="rId269" xr:uid="{1A2617DF-5D3D-4857-BBA3-5507F3A9FBFD}"/>
    <hyperlink ref="O280" r:id="rId270" xr:uid="{27139722-B10A-48DE-B7A9-47AFE048249F}"/>
    <hyperlink ref="O282" r:id="rId271" xr:uid="{3314235D-487E-4DAE-AFED-EA1194AC48C0}"/>
    <hyperlink ref="O283" r:id="rId272" xr:uid="{11613642-5B16-4457-953B-8AA9736E7690}"/>
    <hyperlink ref="O352" r:id="rId273" xr:uid="{7C744750-0743-4A91-8B00-00E761500D3A}"/>
  </hyperlinks>
  <pageMargins left="0.7" right="0.7" top="0.75" bottom="0.75" header="0.3" footer="0.3"/>
  <tableParts count="3">
    <tablePart r:id="rId274"/>
    <tablePart r:id="rId275"/>
    <tablePart r:id="rId27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53"/>
  <sheetViews>
    <sheetView workbookViewId="0"/>
  </sheetViews>
  <sheetFormatPr defaultColWidth="12.6328125" defaultRowHeight="15" customHeight="1" x14ac:dyDescent="0.25"/>
  <cols>
    <col min="1" max="1" width="30.453125" customWidth="1"/>
    <col min="2" max="2" width="22.36328125" customWidth="1"/>
    <col min="4" max="4" width="165.6328125" customWidth="1"/>
    <col min="5" max="5" width="40.453125" customWidth="1"/>
    <col min="12" max="12" width="0.36328125" customWidth="1"/>
    <col min="13" max="13" width="159.36328125" customWidth="1"/>
    <col min="14" max="14" width="26.36328125" customWidth="1"/>
  </cols>
  <sheetData>
    <row r="1" spans="1:14" ht="15" customHeight="1" x14ac:dyDescent="0.35">
      <c r="A1" s="110" t="s">
        <v>411</v>
      </c>
      <c r="B1" s="110" t="s">
        <v>412</v>
      </c>
      <c r="M1" s="111" t="s">
        <v>413</v>
      </c>
      <c r="N1" s="111" t="s">
        <v>414</v>
      </c>
    </row>
    <row r="2" spans="1:14" ht="15" customHeight="1" x14ac:dyDescent="0.35">
      <c r="A2" s="110" t="s">
        <v>415</v>
      </c>
      <c r="B2" s="110">
        <f>COUNTIF(N:N,"báo chí")</f>
        <v>125</v>
      </c>
      <c r="M2" s="112" t="s">
        <v>15</v>
      </c>
      <c r="N2" s="113" t="s">
        <v>415</v>
      </c>
    </row>
    <row r="3" spans="1:14" ht="15" customHeight="1" x14ac:dyDescent="0.35">
      <c r="A3" s="110" t="s">
        <v>416</v>
      </c>
      <c r="B3" s="110">
        <f>COUNTIF(N:N,"cơ quan nhà nước")</f>
        <v>14</v>
      </c>
      <c r="M3" s="114" t="s">
        <v>417</v>
      </c>
      <c r="N3" s="115" t="s">
        <v>415</v>
      </c>
    </row>
    <row r="4" spans="1:14" ht="15" customHeight="1" x14ac:dyDescent="0.35">
      <c r="A4" s="110" t="s">
        <v>418</v>
      </c>
      <c r="B4" s="110">
        <f>COUNTIF(N:N,"video hiện trường")</f>
        <v>1</v>
      </c>
      <c r="M4" s="112" t="s">
        <v>417</v>
      </c>
      <c r="N4" s="113" t="s">
        <v>415</v>
      </c>
    </row>
    <row r="5" spans="1:14" ht="15" customHeight="1" x14ac:dyDescent="0.35">
      <c r="A5" s="110" t="s">
        <v>419</v>
      </c>
      <c r="B5" s="110">
        <f>COUNTIF(N:N,"báo chí và cơ quan nhà nước")</f>
        <v>6</v>
      </c>
      <c r="M5" s="114" t="s">
        <v>417</v>
      </c>
      <c r="N5" s="116" t="s">
        <v>415</v>
      </c>
    </row>
    <row r="6" spans="1:14" ht="15" customHeight="1" x14ac:dyDescent="0.35">
      <c r="A6" s="110" t="s">
        <v>420</v>
      </c>
      <c r="B6" s="110">
        <f>COUNTIF(N:N,"video hiện trường và báo chí")</f>
        <v>4</v>
      </c>
      <c r="M6" s="117" t="s">
        <v>25</v>
      </c>
      <c r="N6" s="113" t="s">
        <v>415</v>
      </c>
    </row>
    <row r="7" spans="1:14" ht="15" customHeight="1" x14ac:dyDescent="0.35">
      <c r="M7" s="118" t="s">
        <v>25</v>
      </c>
      <c r="N7" s="116" t="s">
        <v>415</v>
      </c>
    </row>
    <row r="8" spans="1:14" ht="15" customHeight="1" x14ac:dyDescent="0.35">
      <c r="M8" s="117" t="s">
        <v>25</v>
      </c>
      <c r="N8" s="113" t="s">
        <v>415</v>
      </c>
    </row>
    <row r="9" spans="1:14" ht="15" customHeight="1" x14ac:dyDescent="0.35">
      <c r="M9" s="118" t="s">
        <v>25</v>
      </c>
      <c r="N9" s="116" t="s">
        <v>415</v>
      </c>
    </row>
    <row r="10" spans="1:14" ht="15" customHeight="1" x14ac:dyDescent="0.35">
      <c r="M10" s="117" t="s">
        <v>25</v>
      </c>
      <c r="N10" s="113" t="s">
        <v>421</v>
      </c>
    </row>
    <row r="11" spans="1:14" ht="15" customHeight="1" x14ac:dyDescent="0.35">
      <c r="M11" s="118" t="s">
        <v>28</v>
      </c>
      <c r="N11" s="116" t="s">
        <v>415</v>
      </c>
    </row>
    <row r="12" spans="1:14" ht="15" customHeight="1" x14ac:dyDescent="0.35">
      <c r="M12" s="117" t="s">
        <v>30</v>
      </c>
      <c r="N12" s="113" t="s">
        <v>421</v>
      </c>
    </row>
    <row r="13" spans="1:14" ht="15" customHeight="1" x14ac:dyDescent="0.35">
      <c r="M13" s="118" t="s">
        <v>30</v>
      </c>
      <c r="N13" s="116" t="s">
        <v>415</v>
      </c>
    </row>
    <row r="14" spans="1:14" ht="15" customHeight="1" x14ac:dyDescent="0.35">
      <c r="M14" s="117" t="s">
        <v>31</v>
      </c>
      <c r="N14" s="113" t="s">
        <v>422</v>
      </c>
    </row>
    <row r="15" spans="1:14" ht="15" customHeight="1" x14ac:dyDescent="0.35">
      <c r="M15" s="118" t="s">
        <v>31</v>
      </c>
      <c r="N15" s="116" t="s">
        <v>422</v>
      </c>
    </row>
    <row r="16" spans="1:14" ht="15" customHeight="1" x14ac:dyDescent="0.35">
      <c r="M16" s="117" t="s">
        <v>34</v>
      </c>
      <c r="N16" s="113" t="s">
        <v>415</v>
      </c>
    </row>
    <row r="17" spans="13:14" ht="15" customHeight="1" x14ac:dyDescent="0.35">
      <c r="M17" s="118" t="s">
        <v>35</v>
      </c>
      <c r="N17" s="116" t="s">
        <v>422</v>
      </c>
    </row>
    <row r="18" spans="13:14" ht="15" customHeight="1" x14ac:dyDescent="0.35">
      <c r="M18" s="117" t="s">
        <v>36</v>
      </c>
      <c r="N18" s="113" t="s">
        <v>415</v>
      </c>
    </row>
    <row r="19" spans="13:14" ht="15" customHeight="1" x14ac:dyDescent="0.35">
      <c r="M19" s="118" t="s">
        <v>38</v>
      </c>
      <c r="N19" s="116" t="s">
        <v>415</v>
      </c>
    </row>
    <row r="20" spans="13:14" ht="15" customHeight="1" x14ac:dyDescent="0.35">
      <c r="M20" s="117" t="s">
        <v>40</v>
      </c>
      <c r="N20" s="113" t="s">
        <v>415</v>
      </c>
    </row>
    <row r="21" spans="13:14" ht="15" customHeight="1" x14ac:dyDescent="0.35">
      <c r="M21" s="118" t="s">
        <v>38</v>
      </c>
      <c r="N21" s="116" t="s">
        <v>415</v>
      </c>
    </row>
    <row r="22" spans="13:14" ht="15" customHeight="1" x14ac:dyDescent="0.35">
      <c r="M22" s="117" t="s">
        <v>42</v>
      </c>
      <c r="N22" s="113" t="s">
        <v>415</v>
      </c>
    </row>
    <row r="23" spans="13:14" ht="15" customHeight="1" x14ac:dyDescent="0.35">
      <c r="M23" s="118" t="s">
        <v>44</v>
      </c>
      <c r="N23" s="116" t="s">
        <v>415</v>
      </c>
    </row>
    <row r="24" spans="13:14" ht="15" customHeight="1" x14ac:dyDescent="0.35">
      <c r="M24" s="117" t="s">
        <v>46</v>
      </c>
      <c r="N24" s="113" t="s">
        <v>415</v>
      </c>
    </row>
    <row r="25" spans="13:14" ht="15" customHeight="1" x14ac:dyDescent="0.35">
      <c r="M25" s="118" t="s">
        <v>36</v>
      </c>
      <c r="N25" s="116" t="s">
        <v>415</v>
      </c>
    </row>
    <row r="26" spans="13:14" ht="15" customHeight="1" x14ac:dyDescent="0.35">
      <c r="M26" s="117" t="s">
        <v>36</v>
      </c>
      <c r="N26" s="113" t="s">
        <v>415</v>
      </c>
    </row>
    <row r="27" spans="13:14" ht="15" customHeight="1" x14ac:dyDescent="0.35">
      <c r="M27" s="118" t="s">
        <v>423</v>
      </c>
      <c r="N27" s="116" t="s">
        <v>415</v>
      </c>
    </row>
    <row r="28" spans="13:14" ht="15" customHeight="1" x14ac:dyDescent="0.35">
      <c r="M28" s="117" t="s">
        <v>423</v>
      </c>
      <c r="N28" s="113" t="s">
        <v>415</v>
      </c>
    </row>
    <row r="29" spans="13:14" ht="15" customHeight="1" x14ac:dyDescent="0.35">
      <c r="M29" s="118" t="s">
        <v>423</v>
      </c>
      <c r="N29" s="116" t="s">
        <v>415</v>
      </c>
    </row>
    <row r="30" spans="13:14" ht="15" customHeight="1" x14ac:dyDescent="0.35">
      <c r="M30" s="119" t="s">
        <v>52</v>
      </c>
      <c r="N30" s="113" t="s">
        <v>415</v>
      </c>
    </row>
    <row r="31" spans="13:14" ht="15" customHeight="1" x14ac:dyDescent="0.35">
      <c r="M31" s="120" t="s">
        <v>53</v>
      </c>
      <c r="N31" s="116" t="s">
        <v>415</v>
      </c>
    </row>
    <row r="32" spans="13:14" ht="15" customHeight="1" x14ac:dyDescent="0.35">
      <c r="M32" s="119" t="s">
        <v>54</v>
      </c>
      <c r="N32" s="113" t="s">
        <v>415</v>
      </c>
    </row>
    <row r="33" spans="13:14" ht="15" customHeight="1" x14ac:dyDescent="0.35">
      <c r="M33" s="120" t="s">
        <v>55</v>
      </c>
      <c r="N33" s="116" t="s">
        <v>415</v>
      </c>
    </row>
    <row r="34" spans="13:14" ht="15" customHeight="1" x14ac:dyDescent="0.35">
      <c r="M34" s="119" t="s">
        <v>56</v>
      </c>
      <c r="N34" s="113" t="s">
        <v>415</v>
      </c>
    </row>
    <row r="35" spans="13:14" ht="15" customHeight="1" x14ac:dyDescent="0.35">
      <c r="M35" s="120" t="s">
        <v>424</v>
      </c>
      <c r="N35" s="116" t="s">
        <v>415</v>
      </c>
    </row>
    <row r="36" spans="13:14" ht="15" customHeight="1" x14ac:dyDescent="0.35">
      <c r="M36" s="119" t="s">
        <v>77</v>
      </c>
      <c r="N36" s="113" t="s">
        <v>415</v>
      </c>
    </row>
    <row r="37" spans="13:14" ht="15" customHeight="1" x14ac:dyDescent="0.35">
      <c r="M37" s="121" t="s">
        <v>425</v>
      </c>
      <c r="N37" s="116" t="s">
        <v>420</v>
      </c>
    </row>
    <row r="38" spans="13:14" ht="15.5" x14ac:dyDescent="0.35">
      <c r="M38" s="122" t="s">
        <v>426</v>
      </c>
      <c r="N38" s="113" t="s">
        <v>420</v>
      </c>
    </row>
    <row r="39" spans="13:14" ht="15.5" x14ac:dyDescent="0.35">
      <c r="M39" s="120" t="s">
        <v>77</v>
      </c>
      <c r="N39" s="116" t="s">
        <v>415</v>
      </c>
    </row>
    <row r="40" spans="13:14" ht="15.5" x14ac:dyDescent="0.35">
      <c r="M40" s="119" t="s">
        <v>120</v>
      </c>
      <c r="N40" s="113" t="s">
        <v>415</v>
      </c>
    </row>
    <row r="41" spans="13:14" ht="15.5" x14ac:dyDescent="0.35">
      <c r="M41" s="120" t="s">
        <v>120</v>
      </c>
      <c r="N41" s="116" t="s">
        <v>415</v>
      </c>
    </row>
    <row r="42" spans="13:14" ht="15.5" x14ac:dyDescent="0.35">
      <c r="M42" s="119" t="s">
        <v>83</v>
      </c>
      <c r="N42" s="113" t="s">
        <v>415</v>
      </c>
    </row>
    <row r="43" spans="13:14" ht="15.5" x14ac:dyDescent="0.35">
      <c r="M43" s="120" t="s">
        <v>83</v>
      </c>
      <c r="N43" s="116" t="s">
        <v>415</v>
      </c>
    </row>
    <row r="44" spans="13:14" ht="15.5" x14ac:dyDescent="0.35">
      <c r="M44" s="119" t="s">
        <v>427</v>
      </c>
      <c r="N44" s="113" t="s">
        <v>415</v>
      </c>
    </row>
    <row r="45" spans="13:14" ht="15.5" x14ac:dyDescent="0.35">
      <c r="M45" s="120" t="s">
        <v>428</v>
      </c>
      <c r="N45" s="116" t="s">
        <v>422</v>
      </c>
    </row>
    <row r="46" spans="13:14" ht="15.5" x14ac:dyDescent="0.35">
      <c r="M46" s="119" t="s">
        <v>429</v>
      </c>
      <c r="N46" s="113" t="s">
        <v>415</v>
      </c>
    </row>
    <row r="47" spans="13:14" ht="15.5" x14ac:dyDescent="0.35">
      <c r="M47" s="121" t="s">
        <v>430</v>
      </c>
      <c r="N47" s="116" t="s">
        <v>415</v>
      </c>
    </row>
    <row r="48" spans="13:14" ht="15.5" x14ac:dyDescent="0.35">
      <c r="M48" s="122" t="s">
        <v>431</v>
      </c>
      <c r="N48" s="113" t="s">
        <v>415</v>
      </c>
    </row>
    <row r="49" spans="13:14" ht="15.5" x14ac:dyDescent="0.35">
      <c r="M49" s="121" t="s">
        <v>432</v>
      </c>
      <c r="N49" s="116" t="s">
        <v>415</v>
      </c>
    </row>
    <row r="50" spans="13:14" ht="15.5" x14ac:dyDescent="0.35">
      <c r="M50" s="119" t="s">
        <v>101</v>
      </c>
      <c r="N50" s="113" t="s">
        <v>422</v>
      </c>
    </row>
    <row r="51" spans="13:14" ht="15.5" x14ac:dyDescent="0.35">
      <c r="M51" s="120" t="s">
        <v>103</v>
      </c>
      <c r="N51" s="116" t="s">
        <v>415</v>
      </c>
    </row>
    <row r="52" spans="13:14" ht="15.5" x14ac:dyDescent="0.35">
      <c r="M52" s="119" t="s">
        <v>103</v>
      </c>
      <c r="N52" s="113" t="s">
        <v>415</v>
      </c>
    </row>
    <row r="53" spans="13:14" ht="15.5" x14ac:dyDescent="0.35">
      <c r="M53" s="120" t="s">
        <v>103</v>
      </c>
      <c r="N53" s="116" t="s">
        <v>415</v>
      </c>
    </row>
    <row r="54" spans="13:14" ht="15.5" x14ac:dyDescent="0.35">
      <c r="M54" s="119" t="s">
        <v>107</v>
      </c>
      <c r="N54" s="113" t="s">
        <v>415</v>
      </c>
    </row>
    <row r="55" spans="13:14" ht="15.5" x14ac:dyDescent="0.35">
      <c r="M55" s="120" t="s">
        <v>109</v>
      </c>
      <c r="N55" s="116" t="s">
        <v>415</v>
      </c>
    </row>
    <row r="56" spans="13:14" ht="15.5" x14ac:dyDescent="0.35">
      <c r="M56" s="122" t="s">
        <v>433</v>
      </c>
      <c r="N56" s="113" t="s">
        <v>415</v>
      </c>
    </row>
    <row r="57" spans="13:14" ht="15.5" x14ac:dyDescent="0.35">
      <c r="M57" s="121" t="s">
        <v>434</v>
      </c>
      <c r="N57" s="116" t="s">
        <v>415</v>
      </c>
    </row>
    <row r="58" spans="13:14" ht="15.5" x14ac:dyDescent="0.35">
      <c r="M58" s="122" t="s">
        <v>435</v>
      </c>
      <c r="N58" s="113" t="s">
        <v>415</v>
      </c>
    </row>
    <row r="59" spans="13:14" ht="15.5" x14ac:dyDescent="0.35">
      <c r="M59" s="121" t="s">
        <v>436</v>
      </c>
      <c r="N59" s="116" t="s">
        <v>420</v>
      </c>
    </row>
    <row r="60" spans="13:14" ht="15.5" x14ac:dyDescent="0.35">
      <c r="M60" s="122" t="s">
        <v>437</v>
      </c>
      <c r="N60" s="113" t="s">
        <v>420</v>
      </c>
    </row>
    <row r="61" spans="13:14" ht="15.5" x14ac:dyDescent="0.35">
      <c r="M61" s="121" t="s">
        <v>438</v>
      </c>
      <c r="N61" s="116" t="s">
        <v>419</v>
      </c>
    </row>
    <row r="62" spans="13:14" ht="15.5" x14ac:dyDescent="0.35">
      <c r="M62" s="122" t="s">
        <v>439</v>
      </c>
      <c r="N62" s="113" t="s">
        <v>419</v>
      </c>
    </row>
    <row r="63" spans="13:14" ht="15.5" x14ac:dyDescent="0.35">
      <c r="M63" s="120" t="s">
        <v>120</v>
      </c>
      <c r="N63" s="116" t="s">
        <v>415</v>
      </c>
    </row>
    <row r="64" spans="13:14" ht="15.5" x14ac:dyDescent="0.35">
      <c r="M64" s="119" t="s">
        <v>120</v>
      </c>
      <c r="N64" s="113" t="s">
        <v>415</v>
      </c>
    </row>
    <row r="65" spans="13:14" ht="15.5" x14ac:dyDescent="0.35">
      <c r="M65" s="120" t="s">
        <v>120</v>
      </c>
      <c r="N65" s="116" t="s">
        <v>415</v>
      </c>
    </row>
    <row r="66" spans="13:14" ht="15.5" x14ac:dyDescent="0.35">
      <c r="M66" s="119" t="s">
        <v>120</v>
      </c>
      <c r="N66" s="113" t="s">
        <v>415</v>
      </c>
    </row>
    <row r="67" spans="13:14" ht="15.5" x14ac:dyDescent="0.35">
      <c r="M67" s="120" t="s">
        <v>120</v>
      </c>
      <c r="N67" s="116" t="s">
        <v>415</v>
      </c>
    </row>
    <row r="68" spans="13:14" ht="15.5" x14ac:dyDescent="0.35">
      <c r="M68" s="119" t="s">
        <v>83</v>
      </c>
      <c r="N68" s="113" t="s">
        <v>415</v>
      </c>
    </row>
    <row r="69" spans="13:14" ht="15.5" x14ac:dyDescent="0.35">
      <c r="M69" s="121" t="s">
        <v>135</v>
      </c>
      <c r="N69" s="116" t="s">
        <v>415</v>
      </c>
    </row>
    <row r="70" spans="13:14" ht="15.5" x14ac:dyDescent="0.35">
      <c r="M70" s="122" t="s">
        <v>135</v>
      </c>
      <c r="N70" s="113" t="s">
        <v>415</v>
      </c>
    </row>
    <row r="71" spans="13:14" ht="15.5" x14ac:dyDescent="0.35">
      <c r="M71" s="121" t="s">
        <v>135</v>
      </c>
      <c r="N71" s="116" t="s">
        <v>415</v>
      </c>
    </row>
    <row r="72" spans="13:14" ht="15.5" x14ac:dyDescent="0.35">
      <c r="M72" s="122" t="s">
        <v>135</v>
      </c>
      <c r="N72" s="113" t="s">
        <v>415</v>
      </c>
    </row>
    <row r="73" spans="13:14" ht="15.5" x14ac:dyDescent="0.35">
      <c r="M73" s="121" t="s">
        <v>440</v>
      </c>
      <c r="N73" s="116" t="s">
        <v>419</v>
      </c>
    </row>
    <row r="74" spans="13:14" ht="15.5" x14ac:dyDescent="0.35">
      <c r="M74" s="122" t="s">
        <v>441</v>
      </c>
      <c r="N74" s="113" t="s">
        <v>419</v>
      </c>
    </row>
    <row r="75" spans="13:14" ht="15.5" x14ac:dyDescent="0.35">
      <c r="M75" s="121" t="s">
        <v>442</v>
      </c>
      <c r="N75" s="116" t="s">
        <v>419</v>
      </c>
    </row>
    <row r="76" spans="13:14" ht="15.5" x14ac:dyDescent="0.35">
      <c r="M76" s="122" t="s">
        <v>443</v>
      </c>
      <c r="N76" s="113" t="s">
        <v>419</v>
      </c>
    </row>
    <row r="77" spans="13:14" ht="15.5" x14ac:dyDescent="0.35">
      <c r="M77" s="121" t="s">
        <v>144</v>
      </c>
      <c r="N77" s="116" t="s">
        <v>415</v>
      </c>
    </row>
    <row r="78" spans="13:14" ht="15.5" x14ac:dyDescent="0.35">
      <c r="M78" s="122" t="s">
        <v>144</v>
      </c>
      <c r="N78" s="113" t="s">
        <v>415</v>
      </c>
    </row>
    <row r="79" spans="13:14" ht="15.5" x14ac:dyDescent="0.35">
      <c r="M79" s="121" t="s">
        <v>144</v>
      </c>
      <c r="N79" s="116" t="s">
        <v>415</v>
      </c>
    </row>
    <row r="80" spans="13:14" ht="15.5" x14ac:dyDescent="0.35">
      <c r="M80" s="122" t="s">
        <v>144</v>
      </c>
      <c r="N80" s="113" t="s">
        <v>415</v>
      </c>
    </row>
    <row r="81" spans="13:14" ht="15.5" x14ac:dyDescent="0.35">
      <c r="M81" s="121" t="s">
        <v>144</v>
      </c>
      <c r="N81" s="116" t="s">
        <v>415</v>
      </c>
    </row>
    <row r="82" spans="13:14" ht="15.5" x14ac:dyDescent="0.35">
      <c r="M82" s="122" t="s">
        <v>144</v>
      </c>
      <c r="N82" s="113" t="s">
        <v>415</v>
      </c>
    </row>
    <row r="83" spans="13:14" ht="15.5" x14ac:dyDescent="0.35">
      <c r="M83" s="121" t="s">
        <v>144</v>
      </c>
      <c r="N83" s="116" t="s">
        <v>415</v>
      </c>
    </row>
    <row r="84" spans="13:14" ht="15.5" x14ac:dyDescent="0.35">
      <c r="M84" s="122" t="s">
        <v>38</v>
      </c>
      <c r="N84" s="113" t="s">
        <v>415</v>
      </c>
    </row>
    <row r="85" spans="13:14" ht="15.5" x14ac:dyDescent="0.35">
      <c r="M85" s="121" t="s">
        <v>38</v>
      </c>
      <c r="N85" s="116" t="s">
        <v>415</v>
      </c>
    </row>
    <row r="86" spans="13:14" ht="15.5" x14ac:dyDescent="0.35">
      <c r="M86" s="122" t="s">
        <v>38</v>
      </c>
      <c r="N86" s="113" t="s">
        <v>415</v>
      </c>
    </row>
    <row r="87" spans="13:14" ht="15.5" x14ac:dyDescent="0.35">
      <c r="M87" s="121" t="s">
        <v>38</v>
      </c>
      <c r="N87" s="116" t="s">
        <v>415</v>
      </c>
    </row>
    <row r="88" spans="13:14" ht="15.5" x14ac:dyDescent="0.35">
      <c r="M88" s="122" t="s">
        <v>38</v>
      </c>
      <c r="N88" s="113" t="s">
        <v>415</v>
      </c>
    </row>
    <row r="89" spans="13:14" ht="15.5" x14ac:dyDescent="0.35">
      <c r="M89" s="120" t="s">
        <v>120</v>
      </c>
      <c r="N89" s="116" t="s">
        <v>415</v>
      </c>
    </row>
    <row r="90" spans="13:14" ht="15.5" x14ac:dyDescent="0.35">
      <c r="M90" s="119" t="s">
        <v>120</v>
      </c>
      <c r="N90" s="113" t="s">
        <v>415</v>
      </c>
    </row>
    <row r="91" spans="13:14" ht="15.5" x14ac:dyDescent="0.35">
      <c r="M91" s="120" t="s">
        <v>120</v>
      </c>
      <c r="N91" s="116" t="s">
        <v>415</v>
      </c>
    </row>
    <row r="92" spans="13:14" ht="15.5" x14ac:dyDescent="0.35">
      <c r="M92" s="119" t="s">
        <v>154</v>
      </c>
      <c r="N92" s="113" t="s">
        <v>415</v>
      </c>
    </row>
    <row r="93" spans="13:14" ht="15.5" x14ac:dyDescent="0.35">
      <c r="M93" s="120" t="s">
        <v>154</v>
      </c>
      <c r="N93" s="116" t="s">
        <v>415</v>
      </c>
    </row>
    <row r="94" spans="13:14" ht="15.5" x14ac:dyDescent="0.35">
      <c r="M94" s="122" t="s">
        <v>444</v>
      </c>
      <c r="N94" s="113" t="s">
        <v>415</v>
      </c>
    </row>
    <row r="95" spans="13:14" ht="15.5" x14ac:dyDescent="0.35">
      <c r="M95" s="121" t="s">
        <v>445</v>
      </c>
      <c r="N95" s="116" t="s">
        <v>415</v>
      </c>
    </row>
    <row r="96" spans="13:14" ht="15.5" x14ac:dyDescent="0.35">
      <c r="M96" s="122" t="s">
        <v>446</v>
      </c>
      <c r="N96" s="113" t="s">
        <v>415</v>
      </c>
    </row>
    <row r="97" spans="13:14" ht="15.5" x14ac:dyDescent="0.35">
      <c r="M97" s="123" t="s">
        <v>447</v>
      </c>
      <c r="N97" s="116" t="s">
        <v>415</v>
      </c>
    </row>
    <row r="98" spans="13:14" ht="15.5" x14ac:dyDescent="0.35">
      <c r="M98" s="124" t="s">
        <v>448</v>
      </c>
      <c r="N98" s="113" t="s">
        <v>415</v>
      </c>
    </row>
    <row r="99" spans="13:14" ht="15.5" x14ac:dyDescent="0.35">
      <c r="M99" s="120" t="s">
        <v>449</v>
      </c>
      <c r="N99" s="116" t="s">
        <v>415</v>
      </c>
    </row>
    <row r="100" spans="13:14" ht="15.5" x14ac:dyDescent="0.35">
      <c r="M100" s="119" t="s">
        <v>173</v>
      </c>
      <c r="N100" s="113" t="s">
        <v>415</v>
      </c>
    </row>
    <row r="101" spans="13:14" ht="15.5" x14ac:dyDescent="0.35">
      <c r="M101" s="120" t="s">
        <v>450</v>
      </c>
      <c r="N101" s="116" t="s">
        <v>415</v>
      </c>
    </row>
    <row r="102" spans="13:14" ht="15.5" x14ac:dyDescent="0.35">
      <c r="M102" s="119" t="s">
        <v>176</v>
      </c>
      <c r="N102" s="113" t="s">
        <v>415</v>
      </c>
    </row>
    <row r="103" spans="13:14" ht="15.5" x14ac:dyDescent="0.35">
      <c r="M103" s="120" t="s">
        <v>451</v>
      </c>
      <c r="N103" s="116" t="s">
        <v>415</v>
      </c>
    </row>
    <row r="104" spans="13:14" ht="15.5" x14ac:dyDescent="0.35">
      <c r="M104" s="119" t="s">
        <v>180</v>
      </c>
      <c r="N104" s="113" t="s">
        <v>422</v>
      </c>
    </row>
    <row r="105" spans="13:14" ht="15.5" x14ac:dyDescent="0.35">
      <c r="M105" s="125" t="s">
        <v>182</v>
      </c>
      <c r="N105" s="116" t="s">
        <v>422</v>
      </c>
    </row>
    <row r="106" spans="13:14" ht="15.5" x14ac:dyDescent="0.35">
      <c r="M106" s="124" t="s">
        <v>452</v>
      </c>
      <c r="N106" s="113" t="s">
        <v>422</v>
      </c>
    </row>
    <row r="107" spans="13:14" ht="15.5" x14ac:dyDescent="0.35">
      <c r="M107" s="123" t="s">
        <v>453</v>
      </c>
      <c r="N107" s="116" t="s">
        <v>422</v>
      </c>
    </row>
    <row r="108" spans="13:14" ht="15.5" x14ac:dyDescent="0.35">
      <c r="M108" s="126" t="s">
        <v>196</v>
      </c>
      <c r="N108" s="127" t="s">
        <v>415</v>
      </c>
    </row>
    <row r="109" spans="13:14" ht="15.5" x14ac:dyDescent="0.35">
      <c r="M109" s="126" t="s">
        <v>38</v>
      </c>
      <c r="N109" s="128" t="s">
        <v>415</v>
      </c>
    </row>
    <row r="110" spans="13:14" ht="15.5" x14ac:dyDescent="0.35">
      <c r="M110" s="126" t="s">
        <v>199</v>
      </c>
      <c r="N110" s="127" t="s">
        <v>415</v>
      </c>
    </row>
    <row r="111" spans="13:14" ht="15.5" x14ac:dyDescent="0.35">
      <c r="M111" s="126" t="s">
        <v>64</v>
      </c>
      <c r="N111" s="128" t="s">
        <v>422</v>
      </c>
    </row>
    <row r="112" spans="13:14" ht="15.5" x14ac:dyDescent="0.35">
      <c r="M112" s="126" t="s">
        <v>64</v>
      </c>
      <c r="N112" s="127" t="s">
        <v>422</v>
      </c>
    </row>
    <row r="113" spans="13:14" ht="15.5" x14ac:dyDescent="0.35">
      <c r="M113" s="121" t="s">
        <v>202</v>
      </c>
      <c r="N113" s="129" t="s">
        <v>415</v>
      </c>
    </row>
    <row r="114" spans="13:14" ht="15.5" x14ac:dyDescent="0.35">
      <c r="M114" s="122" t="s">
        <v>202</v>
      </c>
      <c r="N114" s="129" t="s">
        <v>415</v>
      </c>
    </row>
    <row r="115" spans="13:14" ht="15.5" x14ac:dyDescent="0.35">
      <c r="M115" s="121" t="s">
        <v>202</v>
      </c>
      <c r="N115" s="129" t="s">
        <v>415</v>
      </c>
    </row>
    <row r="116" spans="13:14" ht="15.5" x14ac:dyDescent="0.35">
      <c r="M116" s="122" t="s">
        <v>202</v>
      </c>
      <c r="N116" s="129" t="s">
        <v>415</v>
      </c>
    </row>
    <row r="117" spans="13:14" ht="15.5" x14ac:dyDescent="0.35">
      <c r="M117" s="121" t="s">
        <v>203</v>
      </c>
      <c r="N117" s="129" t="s">
        <v>415</v>
      </c>
    </row>
    <row r="118" spans="13:14" ht="15.5" x14ac:dyDescent="0.35">
      <c r="M118" s="122" t="s">
        <v>205</v>
      </c>
      <c r="N118" s="129" t="s">
        <v>415</v>
      </c>
    </row>
    <row r="119" spans="13:14" ht="15.5" x14ac:dyDescent="0.35">
      <c r="M119" s="121" t="s">
        <v>205</v>
      </c>
      <c r="N119" s="129" t="s">
        <v>415</v>
      </c>
    </row>
    <row r="120" spans="13:14" ht="15.5" x14ac:dyDescent="0.35">
      <c r="M120" s="122" t="s">
        <v>208</v>
      </c>
      <c r="N120" s="129" t="s">
        <v>415</v>
      </c>
    </row>
    <row r="121" spans="13:14" ht="15.5" x14ac:dyDescent="0.35">
      <c r="M121" s="121" t="s">
        <v>209</v>
      </c>
      <c r="N121" s="129" t="s">
        <v>415</v>
      </c>
    </row>
    <row r="122" spans="13:14" ht="15.5" x14ac:dyDescent="0.35">
      <c r="M122" s="122" t="s">
        <v>211</v>
      </c>
      <c r="N122" s="129" t="s">
        <v>415</v>
      </c>
    </row>
    <row r="123" spans="13:14" ht="15.5" x14ac:dyDescent="0.35">
      <c r="M123" s="121" t="s">
        <v>212</v>
      </c>
      <c r="N123" s="121" t="s">
        <v>422</v>
      </c>
    </row>
    <row r="124" spans="13:14" ht="15.5" x14ac:dyDescent="0.35">
      <c r="M124" s="122" t="s">
        <v>214</v>
      </c>
      <c r="N124" s="122" t="s">
        <v>415</v>
      </c>
    </row>
    <row r="125" spans="13:14" ht="15.5" x14ac:dyDescent="0.35">
      <c r="M125" s="121" t="s">
        <v>216</v>
      </c>
      <c r="N125" s="121" t="s">
        <v>415</v>
      </c>
    </row>
    <row r="126" spans="13:14" ht="15.5" x14ac:dyDescent="0.35">
      <c r="M126" s="122" t="s">
        <v>216</v>
      </c>
      <c r="N126" s="122" t="s">
        <v>415</v>
      </c>
    </row>
    <row r="127" spans="13:14" ht="15.5" x14ac:dyDescent="0.35">
      <c r="M127" s="121" t="s">
        <v>218</v>
      </c>
      <c r="N127" s="121" t="s">
        <v>415</v>
      </c>
    </row>
    <row r="128" spans="13:14" ht="15.5" x14ac:dyDescent="0.35">
      <c r="M128" s="119" t="s">
        <v>220</v>
      </c>
      <c r="N128" s="122" t="s">
        <v>415</v>
      </c>
    </row>
    <row r="129" spans="13:14" ht="15.5" x14ac:dyDescent="0.35">
      <c r="M129" s="121" t="s">
        <v>232</v>
      </c>
      <c r="N129" s="121" t="s">
        <v>415</v>
      </c>
    </row>
    <row r="130" spans="13:14" ht="15.5" x14ac:dyDescent="0.35">
      <c r="M130" s="122" t="s">
        <v>232</v>
      </c>
      <c r="N130" s="122" t="s">
        <v>415</v>
      </c>
    </row>
    <row r="131" spans="13:14" ht="15.5" x14ac:dyDescent="0.35">
      <c r="M131" s="121" t="s">
        <v>235</v>
      </c>
      <c r="N131" s="121" t="s">
        <v>415</v>
      </c>
    </row>
    <row r="132" spans="13:14" ht="15.5" x14ac:dyDescent="0.35">
      <c r="M132" s="122" t="s">
        <v>237</v>
      </c>
      <c r="N132" s="122" t="s">
        <v>415</v>
      </c>
    </row>
    <row r="133" spans="13:14" ht="15.5" x14ac:dyDescent="0.35">
      <c r="M133" s="121" t="s">
        <v>239</v>
      </c>
      <c r="N133" s="121" t="s">
        <v>415</v>
      </c>
    </row>
    <row r="134" spans="13:14" ht="15.5" x14ac:dyDescent="0.35">
      <c r="M134" s="122" t="s">
        <v>241</v>
      </c>
      <c r="N134" s="122" t="s">
        <v>415</v>
      </c>
    </row>
    <row r="135" spans="13:14" ht="15.5" x14ac:dyDescent="0.35">
      <c r="M135" s="121" t="s">
        <v>38</v>
      </c>
      <c r="N135" s="121" t="s">
        <v>415</v>
      </c>
    </row>
    <row r="136" spans="13:14" ht="15.5" x14ac:dyDescent="0.35">
      <c r="M136" s="122" t="s">
        <v>243</v>
      </c>
      <c r="N136" s="122" t="s">
        <v>422</v>
      </c>
    </row>
    <row r="137" spans="13:14" ht="15.5" x14ac:dyDescent="0.35">
      <c r="M137" s="121" t="s">
        <v>245</v>
      </c>
      <c r="N137" s="121" t="s">
        <v>415</v>
      </c>
    </row>
    <row r="138" spans="13:14" ht="15.5" x14ac:dyDescent="0.35">
      <c r="M138" s="122" t="s">
        <v>246</v>
      </c>
      <c r="N138" s="122" t="s">
        <v>415</v>
      </c>
    </row>
    <row r="139" spans="13:14" ht="15.5" x14ac:dyDescent="0.35">
      <c r="M139" s="121" t="s">
        <v>248</v>
      </c>
      <c r="N139" s="121" t="s">
        <v>415</v>
      </c>
    </row>
    <row r="140" spans="13:14" ht="15.5" x14ac:dyDescent="0.35">
      <c r="M140" s="122" t="s">
        <v>249</v>
      </c>
      <c r="N140" s="122" t="s">
        <v>415</v>
      </c>
    </row>
    <row r="141" spans="13:14" ht="15.5" x14ac:dyDescent="0.35">
      <c r="M141" s="121" t="s">
        <v>250</v>
      </c>
      <c r="N141" s="121" t="s">
        <v>415</v>
      </c>
    </row>
    <row r="142" spans="13:14" ht="15.5" x14ac:dyDescent="0.35">
      <c r="M142" s="122" t="s">
        <v>252</v>
      </c>
      <c r="N142" s="122" t="s">
        <v>415</v>
      </c>
    </row>
    <row r="143" spans="13:14" ht="15.5" x14ac:dyDescent="0.35">
      <c r="M143" s="121" t="s">
        <v>252</v>
      </c>
      <c r="N143" s="121" t="s">
        <v>415</v>
      </c>
    </row>
    <row r="144" spans="13:14" ht="15.5" x14ac:dyDescent="0.35">
      <c r="M144" s="130" t="s">
        <v>255</v>
      </c>
      <c r="N144" s="131" t="s">
        <v>418</v>
      </c>
    </row>
    <row r="145" spans="13:14" ht="15.5" x14ac:dyDescent="0.35">
      <c r="M145" s="122" t="s">
        <v>256</v>
      </c>
      <c r="N145" s="117" t="s">
        <v>422</v>
      </c>
    </row>
    <row r="146" spans="13:14" ht="15.5" x14ac:dyDescent="0.35">
      <c r="M146" s="121" t="s">
        <v>258</v>
      </c>
      <c r="N146" s="118" t="s">
        <v>415</v>
      </c>
    </row>
    <row r="147" spans="13:14" ht="15.5" x14ac:dyDescent="0.35">
      <c r="M147" s="122" t="s">
        <v>290</v>
      </c>
      <c r="N147" s="117" t="s">
        <v>415</v>
      </c>
    </row>
    <row r="148" spans="13:14" ht="15.5" x14ac:dyDescent="0.35">
      <c r="M148" s="120" t="s">
        <v>292</v>
      </c>
      <c r="N148" s="118" t="s">
        <v>415</v>
      </c>
    </row>
    <row r="149" spans="13:14" ht="15.5" x14ac:dyDescent="0.35">
      <c r="M149" s="122" t="s">
        <v>294</v>
      </c>
      <c r="N149" s="117" t="s">
        <v>415</v>
      </c>
    </row>
    <row r="150" spans="13:14" ht="15.5" x14ac:dyDescent="0.35">
      <c r="M150" s="121" t="s">
        <v>296</v>
      </c>
      <c r="N150" s="118" t="s">
        <v>415</v>
      </c>
    </row>
    <row r="151" spans="13:14" ht="15.5" x14ac:dyDescent="0.35">
      <c r="M151" s="132" t="s">
        <v>298</v>
      </c>
      <c r="N151" s="133" t="s">
        <v>415</v>
      </c>
    </row>
    <row r="152" spans="13:14" ht="15.5" x14ac:dyDescent="0.35">
      <c r="M152" s="130" t="s">
        <v>55</v>
      </c>
      <c r="N152" s="133" t="s">
        <v>415</v>
      </c>
    </row>
    <row r="153" spans="13:14" ht="15.5" x14ac:dyDescent="0.35">
      <c r="M153" s="134" t="s">
        <v>55</v>
      </c>
      <c r="N153" s="133" t="s">
        <v>415</v>
      </c>
    </row>
  </sheetData>
  <dataValidations count="1">
    <dataValidation type="custom" allowBlank="1" showDropDown="1" sqref="M5" xr:uid="{00000000-0002-0000-0100-000000000000}">
      <formula1>OR(TIMEVALUE(TEXT(M5, "hh:mm:ss"))=M5, AND(ISNUMBER(M5), LEFT(CELL("format", M5))="D"))</formula1>
    </dataValidation>
  </dataValidations>
  <hyperlinks>
    <hyperlink ref="M2" r:id="rId1" xr:uid="{00000000-0004-0000-0100-000000000000}"/>
    <hyperlink ref="M3" r:id="rId2" xr:uid="{00000000-0004-0000-0100-000001000000}"/>
    <hyperlink ref="M4" r:id="rId3" xr:uid="{00000000-0004-0000-0100-000002000000}"/>
    <hyperlink ref="M5" r:id="rId4" xr:uid="{00000000-0004-0000-0100-000003000000}"/>
    <hyperlink ref="M6" r:id="rId5" xr:uid="{00000000-0004-0000-0100-000004000000}"/>
    <hyperlink ref="M7" r:id="rId6" xr:uid="{00000000-0004-0000-0100-000005000000}"/>
    <hyperlink ref="M8" r:id="rId7" xr:uid="{00000000-0004-0000-0100-000006000000}"/>
    <hyperlink ref="M9" r:id="rId8" xr:uid="{00000000-0004-0000-0100-000007000000}"/>
    <hyperlink ref="M10" r:id="rId9" xr:uid="{00000000-0004-0000-0100-000008000000}"/>
    <hyperlink ref="M11" r:id="rId10" xr:uid="{00000000-0004-0000-0100-000009000000}"/>
    <hyperlink ref="M12" r:id="rId11" xr:uid="{00000000-0004-0000-0100-00000A000000}"/>
    <hyperlink ref="M13" r:id="rId12" xr:uid="{00000000-0004-0000-0100-00000B000000}"/>
    <hyperlink ref="M14" r:id="rId13" xr:uid="{00000000-0004-0000-0100-00000C000000}"/>
    <hyperlink ref="M15" r:id="rId14" xr:uid="{00000000-0004-0000-0100-00000D000000}"/>
    <hyperlink ref="M16" r:id="rId15" xr:uid="{00000000-0004-0000-0100-00000E000000}"/>
    <hyperlink ref="M17" r:id="rId16" xr:uid="{00000000-0004-0000-0100-00000F000000}"/>
    <hyperlink ref="M18" r:id="rId17" xr:uid="{00000000-0004-0000-0100-000010000000}"/>
    <hyperlink ref="M19" r:id="rId18" xr:uid="{00000000-0004-0000-0100-000011000000}"/>
    <hyperlink ref="M20" r:id="rId19" xr:uid="{00000000-0004-0000-0100-000012000000}"/>
    <hyperlink ref="M21" r:id="rId20" xr:uid="{00000000-0004-0000-0100-000013000000}"/>
    <hyperlink ref="M22" r:id="rId21" xr:uid="{00000000-0004-0000-0100-000014000000}"/>
    <hyperlink ref="M23" r:id="rId22" xr:uid="{00000000-0004-0000-0100-000015000000}"/>
    <hyperlink ref="M24" r:id="rId23" xr:uid="{00000000-0004-0000-0100-000016000000}"/>
    <hyperlink ref="M25" r:id="rId24" xr:uid="{00000000-0004-0000-0100-000017000000}"/>
    <hyperlink ref="M26" r:id="rId25" xr:uid="{00000000-0004-0000-0100-000018000000}"/>
    <hyperlink ref="M27" r:id="rId26" xr:uid="{00000000-0004-0000-0100-000019000000}"/>
    <hyperlink ref="M28" r:id="rId27" xr:uid="{00000000-0004-0000-0100-00001A000000}"/>
    <hyperlink ref="M29" r:id="rId28" xr:uid="{00000000-0004-0000-0100-00001B000000}"/>
    <hyperlink ref="M30" r:id="rId29" xr:uid="{00000000-0004-0000-0100-00001C000000}"/>
    <hyperlink ref="M31" r:id="rId30" location="wrap_live_exp" xr:uid="{00000000-0004-0000-0100-00001D000000}"/>
    <hyperlink ref="M32" r:id="rId31" xr:uid="{00000000-0004-0000-0100-00001E000000}"/>
    <hyperlink ref="M33" r:id="rId32" xr:uid="{00000000-0004-0000-0100-00001F000000}"/>
    <hyperlink ref="M34" r:id="rId33" xr:uid="{00000000-0004-0000-0100-000020000000}"/>
    <hyperlink ref="M35" r:id="rId34" xr:uid="{00000000-0004-0000-0100-000021000000}"/>
    <hyperlink ref="M36" r:id="rId35" xr:uid="{00000000-0004-0000-0100-000022000000}"/>
    <hyperlink ref="M37" r:id="rId36" xr:uid="{00000000-0004-0000-0100-000023000000}"/>
    <hyperlink ref="M38" r:id="rId37" xr:uid="{00000000-0004-0000-0100-000024000000}"/>
    <hyperlink ref="M39" r:id="rId38" xr:uid="{00000000-0004-0000-0100-000025000000}"/>
    <hyperlink ref="M40" r:id="rId39" xr:uid="{00000000-0004-0000-0100-000026000000}"/>
    <hyperlink ref="M41" r:id="rId40" xr:uid="{00000000-0004-0000-0100-000027000000}"/>
    <hyperlink ref="M42" r:id="rId41" xr:uid="{00000000-0004-0000-0100-000028000000}"/>
    <hyperlink ref="M43" r:id="rId42" xr:uid="{00000000-0004-0000-0100-000029000000}"/>
    <hyperlink ref="M44" r:id="rId43" xr:uid="{00000000-0004-0000-0100-00002A000000}"/>
    <hyperlink ref="M45" r:id="rId44" xr:uid="{00000000-0004-0000-0100-00002B000000}"/>
    <hyperlink ref="M46" r:id="rId45" xr:uid="{00000000-0004-0000-0100-00002C000000}"/>
    <hyperlink ref="M47" r:id="rId46" xr:uid="{00000000-0004-0000-0100-00002D000000}"/>
    <hyperlink ref="M48" r:id="rId47" xr:uid="{00000000-0004-0000-0100-00002E000000}"/>
    <hyperlink ref="M49" r:id="rId48" xr:uid="{00000000-0004-0000-0100-00002F000000}"/>
    <hyperlink ref="M50" r:id="rId49" xr:uid="{00000000-0004-0000-0100-000030000000}"/>
    <hyperlink ref="M51" r:id="rId50" xr:uid="{00000000-0004-0000-0100-000031000000}"/>
    <hyperlink ref="M52" r:id="rId51" xr:uid="{00000000-0004-0000-0100-000032000000}"/>
    <hyperlink ref="M53" r:id="rId52" xr:uid="{00000000-0004-0000-0100-000033000000}"/>
    <hyperlink ref="M54" r:id="rId53" xr:uid="{00000000-0004-0000-0100-000034000000}"/>
    <hyperlink ref="M55" r:id="rId54" xr:uid="{00000000-0004-0000-0100-000035000000}"/>
    <hyperlink ref="M56" r:id="rId55" xr:uid="{00000000-0004-0000-0100-000036000000}"/>
    <hyperlink ref="M57" r:id="rId56" xr:uid="{00000000-0004-0000-0100-000037000000}"/>
    <hyperlink ref="M58" r:id="rId57" xr:uid="{00000000-0004-0000-0100-000038000000}"/>
    <hyperlink ref="M59" r:id="rId58" xr:uid="{00000000-0004-0000-0100-000039000000}"/>
    <hyperlink ref="M60" r:id="rId59" xr:uid="{00000000-0004-0000-0100-00003A000000}"/>
    <hyperlink ref="M61" r:id="rId60" xr:uid="{00000000-0004-0000-0100-00003B000000}"/>
    <hyperlink ref="M62" r:id="rId61" xr:uid="{00000000-0004-0000-0100-00003C000000}"/>
    <hyperlink ref="M63" r:id="rId62" xr:uid="{00000000-0004-0000-0100-00003D000000}"/>
    <hyperlink ref="M64" r:id="rId63" xr:uid="{00000000-0004-0000-0100-00003E000000}"/>
    <hyperlink ref="M65" r:id="rId64" xr:uid="{00000000-0004-0000-0100-00003F000000}"/>
    <hyperlink ref="M66" r:id="rId65" xr:uid="{00000000-0004-0000-0100-000040000000}"/>
    <hyperlink ref="M67" r:id="rId66" xr:uid="{00000000-0004-0000-0100-000041000000}"/>
    <hyperlink ref="M68" r:id="rId67" xr:uid="{00000000-0004-0000-0100-000042000000}"/>
    <hyperlink ref="M69" r:id="rId68" xr:uid="{00000000-0004-0000-0100-000043000000}"/>
    <hyperlink ref="M70" r:id="rId69" xr:uid="{00000000-0004-0000-0100-000044000000}"/>
    <hyperlink ref="M71" r:id="rId70" xr:uid="{00000000-0004-0000-0100-000045000000}"/>
    <hyperlink ref="M72" r:id="rId71" xr:uid="{00000000-0004-0000-0100-000046000000}"/>
    <hyperlink ref="M73" r:id="rId72" xr:uid="{00000000-0004-0000-0100-000047000000}"/>
    <hyperlink ref="M74" r:id="rId73" xr:uid="{00000000-0004-0000-0100-000048000000}"/>
    <hyperlink ref="M75" r:id="rId74" xr:uid="{00000000-0004-0000-0100-000049000000}"/>
    <hyperlink ref="M76" r:id="rId75" xr:uid="{00000000-0004-0000-0100-00004A000000}"/>
    <hyperlink ref="M77" r:id="rId76" xr:uid="{00000000-0004-0000-0100-00004B000000}"/>
    <hyperlink ref="M78" r:id="rId77" xr:uid="{00000000-0004-0000-0100-00004C000000}"/>
    <hyperlink ref="M79" r:id="rId78" xr:uid="{00000000-0004-0000-0100-00004D000000}"/>
    <hyperlink ref="M80" r:id="rId79" xr:uid="{00000000-0004-0000-0100-00004E000000}"/>
    <hyperlink ref="M81" r:id="rId80" xr:uid="{00000000-0004-0000-0100-00004F000000}"/>
    <hyperlink ref="M82" r:id="rId81" xr:uid="{00000000-0004-0000-0100-000050000000}"/>
    <hyperlink ref="M83" r:id="rId82" xr:uid="{00000000-0004-0000-0100-000051000000}"/>
    <hyperlink ref="M84" r:id="rId83" xr:uid="{00000000-0004-0000-0100-000052000000}"/>
    <hyperlink ref="M85" r:id="rId84" xr:uid="{00000000-0004-0000-0100-000053000000}"/>
    <hyperlink ref="M86" r:id="rId85" xr:uid="{00000000-0004-0000-0100-000054000000}"/>
    <hyperlink ref="M87" r:id="rId86" xr:uid="{00000000-0004-0000-0100-000055000000}"/>
    <hyperlink ref="M88" r:id="rId87" xr:uid="{00000000-0004-0000-0100-000056000000}"/>
    <hyperlink ref="M89" r:id="rId88" xr:uid="{00000000-0004-0000-0100-000057000000}"/>
    <hyperlink ref="M90" r:id="rId89" xr:uid="{00000000-0004-0000-0100-000058000000}"/>
    <hyperlink ref="M91" r:id="rId90" xr:uid="{00000000-0004-0000-0100-000059000000}"/>
    <hyperlink ref="M92" r:id="rId91" xr:uid="{00000000-0004-0000-0100-00005A000000}"/>
    <hyperlink ref="M93" r:id="rId92" xr:uid="{00000000-0004-0000-0100-00005B000000}"/>
    <hyperlink ref="M94" r:id="rId93" xr:uid="{00000000-0004-0000-0100-00005C000000}"/>
    <hyperlink ref="M95" r:id="rId94" xr:uid="{00000000-0004-0000-0100-00005D000000}"/>
    <hyperlink ref="M96" r:id="rId95" xr:uid="{00000000-0004-0000-0100-00005E000000}"/>
    <hyperlink ref="M97" r:id="rId96" xr:uid="{00000000-0004-0000-0100-00005F000000}"/>
    <hyperlink ref="M98" r:id="rId97" xr:uid="{00000000-0004-0000-0100-000060000000}"/>
    <hyperlink ref="M99" r:id="rId98" xr:uid="{00000000-0004-0000-0100-000061000000}"/>
    <hyperlink ref="M100" r:id="rId99" xr:uid="{00000000-0004-0000-0100-000062000000}"/>
    <hyperlink ref="M101" r:id="rId100" xr:uid="{00000000-0004-0000-0100-000063000000}"/>
    <hyperlink ref="M102" r:id="rId101" xr:uid="{00000000-0004-0000-0100-000064000000}"/>
    <hyperlink ref="M103" r:id="rId102" xr:uid="{00000000-0004-0000-0100-000065000000}"/>
    <hyperlink ref="M104" r:id="rId103" xr:uid="{00000000-0004-0000-0100-000066000000}"/>
    <hyperlink ref="M105" r:id="rId104" xr:uid="{00000000-0004-0000-0100-000067000000}"/>
    <hyperlink ref="M106" r:id="rId105" xr:uid="{00000000-0004-0000-0100-000068000000}"/>
    <hyperlink ref="M107" r:id="rId106" xr:uid="{00000000-0004-0000-0100-000069000000}"/>
    <hyperlink ref="M108" r:id="rId107" xr:uid="{00000000-0004-0000-0100-00006A000000}"/>
    <hyperlink ref="M109" r:id="rId108" xr:uid="{00000000-0004-0000-0100-00006B000000}"/>
    <hyperlink ref="M110" r:id="rId109" xr:uid="{00000000-0004-0000-0100-00006C000000}"/>
    <hyperlink ref="M111" r:id="rId110" xr:uid="{00000000-0004-0000-0100-00006D000000}"/>
    <hyperlink ref="M112" r:id="rId111" xr:uid="{00000000-0004-0000-0100-00006E000000}"/>
    <hyperlink ref="M113" r:id="rId112" xr:uid="{00000000-0004-0000-0100-00006F000000}"/>
    <hyperlink ref="M114" r:id="rId113" xr:uid="{00000000-0004-0000-0100-000070000000}"/>
    <hyperlink ref="M115" r:id="rId114" xr:uid="{00000000-0004-0000-0100-000071000000}"/>
    <hyperlink ref="M116" r:id="rId115" xr:uid="{00000000-0004-0000-0100-000072000000}"/>
    <hyperlink ref="M117" r:id="rId116" xr:uid="{00000000-0004-0000-0100-000073000000}"/>
    <hyperlink ref="M118" r:id="rId117" xr:uid="{00000000-0004-0000-0100-000074000000}"/>
    <hyperlink ref="M119" r:id="rId118" xr:uid="{00000000-0004-0000-0100-000075000000}"/>
    <hyperlink ref="M120" r:id="rId119" xr:uid="{00000000-0004-0000-0100-000076000000}"/>
    <hyperlink ref="M121" r:id="rId120" xr:uid="{00000000-0004-0000-0100-000077000000}"/>
    <hyperlink ref="M122" r:id="rId121" xr:uid="{00000000-0004-0000-0100-000078000000}"/>
    <hyperlink ref="M123" r:id="rId122" xr:uid="{00000000-0004-0000-0100-000079000000}"/>
    <hyperlink ref="M124" r:id="rId123" xr:uid="{00000000-0004-0000-0100-00007A000000}"/>
    <hyperlink ref="M125" r:id="rId124" xr:uid="{00000000-0004-0000-0100-00007B000000}"/>
    <hyperlink ref="M126" r:id="rId125" xr:uid="{00000000-0004-0000-0100-00007C000000}"/>
    <hyperlink ref="M127" r:id="rId126" xr:uid="{00000000-0004-0000-0100-00007D000000}"/>
    <hyperlink ref="M128" r:id="rId127" xr:uid="{00000000-0004-0000-0100-00007E000000}"/>
    <hyperlink ref="M129" r:id="rId128" xr:uid="{00000000-0004-0000-0100-00007F000000}"/>
    <hyperlink ref="M130" r:id="rId129" xr:uid="{00000000-0004-0000-0100-000080000000}"/>
    <hyperlink ref="M131" r:id="rId130" xr:uid="{00000000-0004-0000-0100-000081000000}"/>
    <hyperlink ref="M132" r:id="rId131" xr:uid="{00000000-0004-0000-0100-000082000000}"/>
    <hyperlink ref="M133" r:id="rId132" xr:uid="{00000000-0004-0000-0100-000083000000}"/>
    <hyperlink ref="M134" r:id="rId133" xr:uid="{00000000-0004-0000-0100-000084000000}"/>
    <hyperlink ref="M135" r:id="rId134" xr:uid="{00000000-0004-0000-0100-000085000000}"/>
    <hyperlink ref="M136" r:id="rId135" xr:uid="{00000000-0004-0000-0100-000086000000}"/>
    <hyperlink ref="M137" r:id="rId136" xr:uid="{00000000-0004-0000-0100-000087000000}"/>
    <hyperlink ref="M138" r:id="rId137" xr:uid="{00000000-0004-0000-0100-000088000000}"/>
    <hyperlink ref="M139" r:id="rId138" xr:uid="{00000000-0004-0000-0100-000089000000}"/>
    <hyperlink ref="M140" r:id="rId139" xr:uid="{00000000-0004-0000-0100-00008A000000}"/>
    <hyperlink ref="M141" r:id="rId140" xr:uid="{00000000-0004-0000-0100-00008B000000}"/>
    <hyperlink ref="M147" r:id="rId141" xr:uid="{00000000-0004-0000-0100-00008C000000}"/>
    <hyperlink ref="M148" r:id="rId142" xr:uid="{00000000-0004-0000-0100-00008D000000}"/>
    <hyperlink ref="M149" r:id="rId143" xr:uid="{00000000-0004-0000-0100-00008E000000}"/>
    <hyperlink ref="M150" r:id="rId144" xr:uid="{00000000-0004-0000-0100-00008F000000}"/>
    <hyperlink ref="M151" r:id="rId145" xr:uid="{00000000-0004-0000-0100-000090000000}"/>
    <hyperlink ref="M152" r:id="rId146" xr:uid="{00000000-0004-0000-0100-000091000000}"/>
    <hyperlink ref="M153" r:id="rId147" xr:uid="{00000000-0004-0000-0100-000092000000}"/>
  </hyperlinks>
  <pageMargins left="0.7" right="0.7" top="0.75" bottom="0.75" header="0.3" footer="0.3"/>
  <drawing r:id="rId148"/>
  <tableParts count="3">
    <tablePart r:id="rId149"/>
    <tablePart r:id="rId150"/>
    <tablePart r:id="rId1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>
      <selection activeCell="A3" sqref="A3"/>
    </sheetView>
  </sheetViews>
  <sheetFormatPr defaultColWidth="12.6328125" defaultRowHeight="15" customHeight="1" x14ac:dyDescent="0.25"/>
  <cols>
    <col min="1" max="1" width="22.26953125" bestFit="1" customWidth="1"/>
    <col min="2" max="2" width="186" bestFit="1" customWidth="1"/>
  </cols>
  <sheetData>
    <row r="1" spans="1:2" x14ac:dyDescent="0.3">
      <c r="A1" s="135" t="s">
        <v>454</v>
      </c>
      <c r="B1" s="135" t="s">
        <v>455</v>
      </c>
    </row>
    <row r="2" spans="1:2" ht="15" customHeight="1" x14ac:dyDescent="0.35">
      <c r="A2" s="131" t="s">
        <v>456</v>
      </c>
      <c r="B2" s="110" t="s">
        <v>457</v>
      </c>
    </row>
    <row r="3" spans="1:2" ht="15" customHeight="1" x14ac:dyDescent="0.35">
      <c r="A3" s="131" t="s">
        <v>458</v>
      </c>
      <c r="B3" s="110" t="s">
        <v>459</v>
      </c>
    </row>
    <row r="4" spans="1:2" ht="15" customHeight="1" x14ac:dyDescent="0.35">
      <c r="A4" s="131" t="s">
        <v>460</v>
      </c>
      <c r="B4" s="110" t="s">
        <v>461</v>
      </c>
    </row>
    <row r="5" spans="1:2" ht="15" customHeight="1" x14ac:dyDescent="0.35">
      <c r="A5" s="131" t="s">
        <v>462</v>
      </c>
      <c r="B5" s="110" t="s"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>
      <selection activeCell="A4" sqref="A4"/>
    </sheetView>
  </sheetViews>
  <sheetFormatPr defaultColWidth="12.6328125" defaultRowHeight="15" customHeight="1" x14ac:dyDescent="0.25"/>
  <cols>
    <col min="1" max="1" width="24.6328125" bestFit="1" customWidth="1"/>
    <col min="2" max="2" width="105.08984375" customWidth="1"/>
    <col min="3" max="3" width="18.1796875" customWidth="1"/>
  </cols>
  <sheetData>
    <row r="1" spans="1:3" ht="15" customHeight="1" x14ac:dyDescent="0.3">
      <c r="A1" s="135" t="s">
        <v>454</v>
      </c>
      <c r="B1" s="135" t="s">
        <v>464</v>
      </c>
      <c r="C1" s="179" t="s">
        <v>465</v>
      </c>
    </row>
    <row r="2" spans="1:3" ht="15" customHeight="1" x14ac:dyDescent="0.35">
      <c r="A2" s="110" t="s">
        <v>466</v>
      </c>
      <c r="B2" s="110" t="s">
        <v>467</v>
      </c>
      <c r="C2" s="131" t="s">
        <v>468</v>
      </c>
    </row>
    <row r="3" spans="1:3" ht="15" customHeight="1" x14ac:dyDescent="0.35">
      <c r="A3" s="110" t="s">
        <v>469</v>
      </c>
      <c r="B3" s="110" t="s">
        <v>470</v>
      </c>
      <c r="C3" s="131" t="s">
        <v>471</v>
      </c>
    </row>
    <row r="4" spans="1:3" ht="15" customHeight="1" x14ac:dyDescent="0.35">
      <c r="A4" s="110" t="s">
        <v>472</v>
      </c>
      <c r="B4" s="110" t="s">
        <v>473</v>
      </c>
      <c r="C4" s="131" t="s">
        <v>474</v>
      </c>
    </row>
    <row r="5" spans="1:3" ht="15" customHeight="1" x14ac:dyDescent="0.35">
      <c r="A5" s="110" t="s">
        <v>475</v>
      </c>
      <c r="B5" s="110" t="s">
        <v>476</v>
      </c>
      <c r="C5" s="131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Thống kê nguồn</vt:lpstr>
      <vt:lpstr>Factors</vt:lpstr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hai</cp:lastModifiedBy>
  <dcterms:modified xsi:type="dcterms:W3CDTF">2026-03-16T09:51:08Z</dcterms:modified>
</cp:coreProperties>
</file>